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86CB6FE0-F72A-4F35-B9BF-0572C94085F7}" xr6:coauthVersionLast="47" xr6:coauthVersionMax="47" xr10:uidLastSave="{00000000-0000-0000-0000-000000000000}"/>
  <bookViews>
    <workbookView xWindow="-110" yWindow="-110" windowWidth="19420" windowHeight="11500" xr2:uid="{E6D46B2E-3674-44D7-A488-7C3C2ECC7D99}"/>
  </bookViews>
  <sheets>
    <sheet name="dimcustomer()" sheetId="4" r:id="rId1"/>
    <sheet name="dimproduct()" sheetId="2" r:id="rId2"/>
    <sheet name="dimshowroom()" sheetId="5" r:id="rId3"/>
    <sheet name="salesfact" sheetId="6" r:id="rId4"/>
    <sheet name="salestarget" sheetId="7" r:id="rId5"/>
    <sheet name="dimedate()" sheetId="9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9" l="1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2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2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2" i="9"/>
</calcChain>
</file>

<file path=xl/sharedStrings.xml><?xml version="1.0" encoding="utf-8"?>
<sst xmlns="http://schemas.openxmlformats.org/spreadsheetml/2006/main" count="1414" uniqueCount="559">
  <si>
    <t>datekey</t>
  </si>
  <si>
    <t>dayofmonth</t>
  </si>
  <si>
    <t>month</t>
  </si>
  <si>
    <t>quarter</t>
  </si>
  <si>
    <t>year</t>
  </si>
  <si>
    <t>NULL</t>
  </si>
  <si>
    <t>articleno</t>
  </si>
  <si>
    <t>articledescription</t>
  </si>
  <si>
    <t>createdon</t>
  </si>
  <si>
    <t>profitcenter</t>
  </si>
  <si>
    <t>profitcenterdescription</t>
  </si>
  <si>
    <t>subcategory</t>
  </si>
  <si>
    <t>category</t>
  </si>
  <si>
    <t>capacity</t>
  </si>
  <si>
    <t>productgroup</t>
  </si>
  <si>
    <t>brand</t>
  </si>
  <si>
    <t>product</t>
  </si>
  <si>
    <t>producttype</t>
  </si>
  <si>
    <t>is_current</t>
  </si>
  <si>
    <t>effective_from</t>
  </si>
  <si>
    <t>effective_to</t>
  </si>
  <si>
    <t>created_at</t>
  </si>
  <si>
    <t>updated_at</t>
  </si>
  <si>
    <t>refid</t>
  </si>
  <si>
    <t>loadtimestamp</t>
  </si>
  <si>
    <t>Unknown Product</t>
  </si>
  <si>
    <t>UNKNOWN</t>
  </si>
  <si>
    <t>Unknown Profit Center</t>
  </si>
  <si>
    <t>Unknown Subcategory</t>
  </si>
  <si>
    <t>Unknown Category</t>
  </si>
  <si>
    <t>Unknown Capacity</t>
  </si>
  <si>
    <t>Unknown Brand</t>
  </si>
  <si>
    <t>Unknown Product Type</t>
  </si>
  <si>
    <t>Y</t>
  </si>
  <si>
    <t>EARLY_ARRIVING_DIM</t>
  </si>
  <si>
    <t>EcoCool BCD 290 Gold Black</t>
  </si>
  <si>
    <t>PRF</t>
  </si>
  <si>
    <t>Panasonic Refrigerator</t>
  </si>
  <si>
    <t>DCGD300</t>
  </si>
  <si>
    <t>Direct Cooling</t>
  </si>
  <si>
    <t>251-300L</t>
  </si>
  <si>
    <t>A</t>
  </si>
  <si>
    <t>PN</t>
  </si>
  <si>
    <t>RF</t>
  </si>
  <si>
    <t>Trade</t>
  </si>
  <si>
    <t>EcoVision HD 32 Series</t>
  </si>
  <si>
    <t>PTV</t>
  </si>
  <si>
    <t>Panasonic TV</t>
  </si>
  <si>
    <t>TV32</t>
  </si>
  <si>
    <t>FHD</t>
  </si>
  <si>
    <t>32" &amp; Below</t>
  </si>
  <si>
    <t>TV</t>
  </si>
  <si>
    <t>HomeScreen Explorer 32</t>
  </si>
  <si>
    <t>STV</t>
  </si>
  <si>
    <t>Sony TV</t>
  </si>
  <si>
    <t>BC32</t>
  </si>
  <si>
    <t>SN</t>
  </si>
  <si>
    <t>LG NanoPrecision 43</t>
  </si>
  <si>
    <t>LTV</t>
  </si>
  <si>
    <t>LG TV</t>
  </si>
  <si>
    <t>TV43</t>
  </si>
  <si>
    <t>NANO</t>
  </si>
  <si>
    <t>40"-49"</t>
  </si>
  <si>
    <t>LG</t>
  </si>
  <si>
    <t>HomeAir Inv 18 Special Edition</t>
  </si>
  <si>
    <t>HAC</t>
  </si>
  <si>
    <t>Haier AC</t>
  </si>
  <si>
    <t>INVSTD18</t>
  </si>
  <si>
    <t>Inverter</t>
  </si>
  <si>
    <t>18000 BTU</t>
  </si>
  <si>
    <t>HA</t>
  </si>
  <si>
    <t>AC</t>
  </si>
  <si>
    <t>EcoCool BCD 320 Gold Black</t>
  </si>
  <si>
    <t>DCGD350</t>
  </si>
  <si>
    <t>301-400L</t>
  </si>
  <si>
    <t>TechStream HD 32 ProKit</t>
  </si>
  <si>
    <t>TTV</t>
  </si>
  <si>
    <t>Toshiba TV</t>
  </si>
  <si>
    <t>SM32</t>
  </si>
  <si>
    <t>TS</t>
  </si>
  <si>
    <t>EcoChill RAC Plus 18</t>
  </si>
  <si>
    <t>PAC</t>
  </si>
  <si>
    <t>Panasonic AC</t>
  </si>
  <si>
    <t>ECRACOLD</t>
  </si>
  <si>
    <t>TechStream HD 32 MasterPro</t>
  </si>
  <si>
    <t>EcoChill RAC Turbo 18</t>
  </si>
  <si>
    <t>LG AirComfort Deluxe</t>
  </si>
  <si>
    <t>LAC</t>
  </si>
  <si>
    <t>LG AC</t>
  </si>
  <si>
    <t>EcoCool BCD 260 Gold Black</t>
  </si>
  <si>
    <t>EcoChill Mini 198 Gold Black</t>
  </si>
  <si>
    <t>FZ200</t>
  </si>
  <si>
    <t>Freezer</t>
  </si>
  <si>
    <t>Below 200L</t>
  </si>
  <si>
    <t>EcoMax Fridge 566 Black Edition</t>
  </si>
  <si>
    <t>SSGD566</t>
  </si>
  <si>
    <t>Multi Door</t>
  </si>
  <si>
    <t>Above 400L</t>
  </si>
  <si>
    <t>HomeAir Inv 18 Deluxe</t>
  </si>
  <si>
    <t>city</t>
  </si>
  <si>
    <t>Mumbai</t>
  </si>
  <si>
    <t>customercode</t>
  </si>
  <si>
    <t>name</t>
  </si>
  <si>
    <t>mobilenumber</t>
  </si>
  <si>
    <t>postalcode</t>
  </si>
  <si>
    <t>areadescription</t>
  </si>
  <si>
    <t>emailid</t>
  </si>
  <si>
    <t>e591c981f3ba2fa2a3f8fe6645231cde07b39b4a8061a44984a67df477923cd8</t>
  </si>
  <si>
    <t>customer 1630</t>
  </si>
  <si>
    <t>Charni Road</t>
  </si>
  <si>
    <t>customer 1630@gmail.com</t>
  </si>
  <si>
    <t>aba0c1ed2a303edac3669fdecd2621daec9755cddfb40cf3e87a244f82a67411</t>
  </si>
  <si>
    <t>customer 13016</t>
  </si>
  <si>
    <t>V J b udyan</t>
  </si>
  <si>
    <t>customer 13016@gmail.com</t>
  </si>
  <si>
    <t>7dfaabf9620849866ba27c95bd94f2a294ceb6e3cc34ffac83c7e2389d9806aa</t>
  </si>
  <si>
    <t>customer 1095</t>
  </si>
  <si>
    <t>H.M.p. school</t>
  </si>
  <si>
    <t>customer 1095@gmail.com</t>
  </si>
  <si>
    <t>fd9c7e9a149019039ead36e8d285ddd308b9c5caa5426b8262060da3da53d29b</t>
  </si>
  <si>
    <t>customer 2919</t>
  </si>
  <si>
    <t>V.P. road</t>
  </si>
  <si>
    <t>customer 2919@gmail.com</t>
  </si>
  <si>
    <t>47798f4cf3d0cf2f9335c99619a102783c52a832b6959ac490e3b549361cf780</t>
  </si>
  <si>
    <t>customer 13781</t>
  </si>
  <si>
    <t>Princess Dock</t>
  </si>
  <si>
    <t>customer 13781@gmail.com</t>
  </si>
  <si>
    <t>9a468e81830427661c516839003de5bac79064b4f820f6d667840d88753b5224</t>
  </si>
  <si>
    <t>customer 2927</t>
  </si>
  <si>
    <t>Dadar</t>
  </si>
  <si>
    <t>customer 2927@gmail.com</t>
  </si>
  <si>
    <t>9891067b78baaa008446b6ff463d52d9591bbe562b47dc2858d5f9c0f6ae2683</t>
  </si>
  <si>
    <t>customer 81</t>
  </si>
  <si>
    <t>Malad East</t>
  </si>
  <si>
    <t>customer 81@gmail.com</t>
  </si>
  <si>
    <t>f90ecfd65afe504f12a1abec28e1096b947e604479dce69ce667c9134d6ef664</t>
  </si>
  <si>
    <t>customer 217</t>
  </si>
  <si>
    <t>Borivali East</t>
  </si>
  <si>
    <t>customer 217@gmail.com</t>
  </si>
  <si>
    <t>afe277c3da5cf5e6fb63a014b1fdc03333e2da3b4ae5758a421c4ca3ce64e2d8</t>
  </si>
  <si>
    <t>customer 1090</t>
  </si>
  <si>
    <t>Oshiwara</t>
  </si>
  <si>
    <t>customer 1090@gmail.com</t>
  </si>
  <si>
    <t>7d5bc4175d3861031ec697dba57e65c45ee70aa9dc8dd52c6a320d6203bc8e94</t>
  </si>
  <si>
    <t>customer 4186</t>
  </si>
  <si>
    <t>Bandra(east)</t>
  </si>
  <si>
    <t>customer 4186@gmail.com</t>
  </si>
  <si>
    <t>b5e81a2b72bccdd7f8aa586d6e0a2dc881c18b605f96f2282171c009e8458206</t>
  </si>
  <si>
    <t>customer 5584</t>
  </si>
  <si>
    <t>Dharavi Road</t>
  </si>
  <si>
    <t>customer 5584@gmail.com</t>
  </si>
  <si>
    <t>23776eb070fa3d2b2be06c9dc7e7e22181d594816e957460b1e1d134302be6c5</t>
  </si>
  <si>
    <t>customer 237</t>
  </si>
  <si>
    <t>International Airport</t>
  </si>
  <si>
    <t>customer 237@gmail.com</t>
  </si>
  <si>
    <t>66f373fca71e9917917cd93e68b771d34864d9643a93830ed8e85fcf84bceb5a</t>
  </si>
  <si>
    <t>customer 11196</t>
  </si>
  <si>
    <t>S R p f camp</t>
  </si>
  <si>
    <t>customer 11196@gmail.com</t>
  </si>
  <si>
    <t>b1ba4102e6e6d2de8ca4e616a6647f2f6f09245fefaabb111dde8a4c6ac73eb2</t>
  </si>
  <si>
    <t>customer 1134</t>
  </si>
  <si>
    <t>Dr Deshmukh marg</t>
  </si>
  <si>
    <t>customer 1134@gmail.com</t>
  </si>
  <si>
    <t>7dc3b4ba1476ece04fe528aa97b431429ee475b010969a4d3713080a08e997ee</t>
  </si>
  <si>
    <t>customer 13514</t>
  </si>
  <si>
    <t>customer 13514@gmail.com</t>
  </si>
  <si>
    <t>49276cc0c90098c8a7aa07a77d775f0ab15cd5e0557bec656896dfb731cc16f5</t>
  </si>
  <si>
    <t>customer 8139</t>
  </si>
  <si>
    <t>Bharat Nagar</t>
  </si>
  <si>
    <t>customer 8139@gmail.com</t>
  </si>
  <si>
    <t>d7fca616b4229f37d654bb1d7a71966fdecb3d577c55c33d4b5a762a662e8b0a</t>
  </si>
  <si>
    <t>customer 197</t>
  </si>
  <si>
    <t>Liberty Garden</t>
  </si>
  <si>
    <t>customer 197@gmail.com</t>
  </si>
  <si>
    <t>147293a2a1583ec5294f3d31d594a999f18a8b4859330918488c79fc39bbe96a</t>
  </si>
  <si>
    <t>customer 993</t>
  </si>
  <si>
    <t>Rajbhavan</t>
  </si>
  <si>
    <t>customer 993@gmail.com</t>
  </si>
  <si>
    <t>3a7485a022e9b61c070165200a4e28d320bac8fddbf3b0bb1c082025d4833e59</t>
  </si>
  <si>
    <t>customer 1005</t>
  </si>
  <si>
    <t>customer 1005@gmail.com</t>
  </si>
  <si>
    <t>87a29858c8e9472753610c004a4fd0e60547117e69d872bb50c5e53d919a4ff0</t>
  </si>
  <si>
    <t>customer 13822</t>
  </si>
  <si>
    <t>Cumballa Sea face</t>
  </si>
  <si>
    <t>customer 13822@gmail.com</t>
  </si>
  <si>
    <t>43997cb2e3dfa463d9791148146345782574dba244ff44d976b5ce276d9223fe</t>
  </si>
  <si>
    <t>customer 460</t>
  </si>
  <si>
    <t>Kalachowki</t>
  </si>
  <si>
    <t>customer 460@gmail.com</t>
  </si>
  <si>
    <t>f0a0cf0dcfc1e1ab0b88a766af73a4e488684ca82078f9ba45cc9529f3bb2ae7</t>
  </si>
  <si>
    <t>customer 13192</t>
  </si>
  <si>
    <t>Borvali West</t>
  </si>
  <si>
    <t>customer 13192@gmail.com</t>
  </si>
  <si>
    <t>88cc6a5907432c7dd1316e559b03c6fb5906e7159b3d9997ac37320bb9caca7d</t>
  </si>
  <si>
    <t>customer 195</t>
  </si>
  <si>
    <t>customer 195@gmail.com</t>
  </si>
  <si>
    <t>7bfe79692fd8fdcbd26fe8805f13369351a425432a2ed2641dbdd168734ac993</t>
  </si>
  <si>
    <t>customer 359</t>
  </si>
  <si>
    <t>V.W.t.c.</t>
  </si>
  <si>
    <t>customer 359@gmail.com</t>
  </si>
  <si>
    <t>12ad7d9192561824901fd0acadebcaddf9f815386cd42d73e8ff227e66221a6f</t>
  </si>
  <si>
    <t>customer 16953</t>
  </si>
  <si>
    <t>Santacruz(west)</t>
  </si>
  <si>
    <t>customer 16953@gmail.com</t>
  </si>
  <si>
    <t>4287757169da9673175b5bebaa21388afbcf3ac4acd3f8757ba913f939103853</t>
  </si>
  <si>
    <t>customer 3111</t>
  </si>
  <si>
    <t>Jogeshwari West</t>
  </si>
  <si>
    <t>customer 3111@gmail.com</t>
  </si>
  <si>
    <t>114089cc3efb6afe2cf7013ad53eaafb509a9eaf34f3d2c48398bc99ec89257a</t>
  </si>
  <si>
    <t>customer 1088</t>
  </si>
  <si>
    <t>Jogeshwari East</t>
  </si>
  <si>
    <t>customer 1088@gmail.com</t>
  </si>
  <si>
    <t>24d08e007eb8cb08297b6ab2c271a75bc3acb3d26575eae92e1537d5b5f4aa1a</t>
  </si>
  <si>
    <t>customer 16921</t>
  </si>
  <si>
    <t>Falkland Road</t>
  </si>
  <si>
    <t>customer 16921@gmail.com</t>
  </si>
  <si>
    <t>2910fdb0272d7af50a50e2c18edef6d5928ff865137dce6761120bd6e718529a</t>
  </si>
  <si>
    <t>customer 11225</t>
  </si>
  <si>
    <t>Matunga Railway workshop</t>
  </si>
  <si>
    <t>customer 11225@gmail.com</t>
  </si>
  <si>
    <t>ab0d00d13f3d67cf1d428386879d6d4297da622812e5d2962bfae6a48c98930e</t>
  </si>
  <si>
    <t>customer 17120</t>
  </si>
  <si>
    <t>Goregaon</t>
  </si>
  <si>
    <t>customer 17120@gmail.com</t>
  </si>
  <si>
    <t>73bef0841a08d259dc3090daab4078c28abefd5d5bcf8553d0ccd00b3b649bd8</t>
  </si>
  <si>
    <t>customer 778</t>
  </si>
  <si>
    <t>Vileparle Railway station</t>
  </si>
  <si>
    <t>customer 778@gmail.com</t>
  </si>
  <si>
    <t>4ca49527f5f80b88d9f923bed7a294d57548e0b86ad711be6599f94136e3384d</t>
  </si>
  <si>
    <t>customer 1435</t>
  </si>
  <si>
    <t>J.B. nagar</t>
  </si>
  <si>
    <t>customer 1435@gmail.com</t>
  </si>
  <si>
    <t>6110d5454a80be354ce1a3622f9cfe4d85d8728cee81b304254eb5855fa98463</t>
  </si>
  <si>
    <t>customer 14105</t>
  </si>
  <si>
    <t>Marol Bazar</t>
  </si>
  <si>
    <t>customer 14105@gmail.com</t>
  </si>
  <si>
    <t>6be032dfc00b495123b52672566e46651735a4894f2b1fc58f360dc84d53fefd</t>
  </si>
  <si>
    <t>customer 5564</t>
  </si>
  <si>
    <t>Tank Road</t>
  </si>
  <si>
    <t>customer 5564@gmail.com</t>
  </si>
  <si>
    <t>0aacf1a25a99b018066fed00a5b6956b41df79d4ec0d2ea2300551b8909c1f10</t>
  </si>
  <si>
    <t>customer 2237</t>
  </si>
  <si>
    <t>Madh</t>
  </si>
  <si>
    <t>customer 2237@gmail.com</t>
  </si>
  <si>
    <t>d25963fc341efcd9de150035ebee56adbea9a14a8841d41cc5a24abb8e970d9c</t>
  </si>
  <si>
    <t>customer 2090</t>
  </si>
  <si>
    <t>customer 2090@gmail.com</t>
  </si>
  <si>
    <t>fa65399af50ed33cd5b904f31464a619c3f825c0d04dc81c9f99355d689edd9f</t>
  </si>
  <si>
    <t>customer 348</t>
  </si>
  <si>
    <t>Sharma Estate</t>
  </si>
  <si>
    <t>customer 348@gmail.com</t>
  </si>
  <si>
    <t>50e85244d4fd831e193844357b3726d2d981ce2ce949699e67c6fe753b3529b1</t>
  </si>
  <si>
    <t>customer 2282</t>
  </si>
  <si>
    <t>B P t colony</t>
  </si>
  <si>
    <t>customer 2282@gmail.com</t>
  </si>
  <si>
    <t>574ba913cd9c93e3e8096ff13f4361ed2c2f0c67eafb848ba6b5b7a02d72e5c1</t>
  </si>
  <si>
    <t>customer 10023</t>
  </si>
  <si>
    <t>customer 10023@gmail.com</t>
  </si>
  <si>
    <t>b27b00e5f413e58c523151ac7a193e573178503c6567e7143776965da18821c0</t>
  </si>
  <si>
    <t>customer 2216</t>
  </si>
  <si>
    <t>Prabhadevi</t>
  </si>
  <si>
    <t>customer 2216@gmail.com</t>
  </si>
  <si>
    <t>22ba1182816562ac81763af120d4178ad2528a3b91bc35056bdbd3ef1d424195</t>
  </si>
  <si>
    <t>customer 1137</t>
  </si>
  <si>
    <t>Noor Baug</t>
  </si>
  <si>
    <t>customer 1137@gmail.com</t>
  </si>
  <si>
    <t>751beb2e4ed92e10cf4e5b0e3f854acdbdc36eff0f54b67ae60ed19976859e65</t>
  </si>
  <si>
    <t>customer 1150</t>
  </si>
  <si>
    <t>Chamarbaug</t>
  </si>
  <si>
    <t>customer 1150@gmail.com</t>
  </si>
  <si>
    <t>a9b89f620071176f97622214d554e3654a3b10015306a8974a4fd7bc6fd0a6d2</t>
  </si>
  <si>
    <t>customer 532</t>
  </si>
  <si>
    <t>Dahisar Rs</t>
  </si>
  <si>
    <t>customer 532@gmail.com</t>
  </si>
  <si>
    <t>643aecc82f7737d5bb2e5f0310d0a52718e684d187f710ca4e9dc5aee8d93430</t>
  </si>
  <si>
    <t>customer 1524</t>
  </si>
  <si>
    <t>Mazgaon</t>
  </si>
  <si>
    <t>customer 1524@gmail.com</t>
  </si>
  <si>
    <t>fc7110514f553632e0a2147afd169bd48224f4a02350e8c4f411d96386f24a65</t>
  </si>
  <si>
    <t>customer 10468</t>
  </si>
  <si>
    <t>Danda</t>
  </si>
  <si>
    <t>customer 10468@gmail.com</t>
  </si>
  <si>
    <t>5a7584efdca59fdff6ac975ca19f6e3815a4c165ea01c0ee9ad7d781c39233d4</t>
  </si>
  <si>
    <t>customer 10371</t>
  </si>
  <si>
    <t>customer 10371@gmail.com</t>
  </si>
  <si>
    <t>cb1839de1c09317f38df05c05764bb4ec76852f11cadc17c86d8199e1c023cc6</t>
  </si>
  <si>
    <t>customer 16925</t>
  </si>
  <si>
    <t>Worli</t>
  </si>
  <si>
    <t>customer 16925@gmail.com</t>
  </si>
  <si>
    <t>64a6f8bb082c41b9925faf6a34b53001a6838b87e717537d845e5ac97d11cec6</t>
  </si>
  <si>
    <t>customer 2008</t>
  </si>
  <si>
    <t>Juhu</t>
  </si>
  <si>
    <t>customer 2008@gmail.com</t>
  </si>
  <si>
    <t>e7e5d0f5d5236600db65b89f0136f9d2e7939a76091d6d3f55e0f4efd0a01b18</t>
  </si>
  <si>
    <t>customer 16712</t>
  </si>
  <si>
    <t>V K bhavan</t>
  </si>
  <si>
    <t>customer 16712@gmail.com</t>
  </si>
  <si>
    <t>60829d08229972190c3b6ef928ab2ca42081c05ac0b298f69d08f0b33e9771a5</t>
  </si>
  <si>
    <t>customer 10085</t>
  </si>
  <si>
    <t>Mazgaon Dock</t>
  </si>
  <si>
    <t>customer 10085@gmail.com</t>
  </si>
  <si>
    <t>dc0cd199ab8c3a2e80825dc159ad531a3e3b0d853d72f6c00ea1f8dc10cb355d</t>
  </si>
  <si>
    <t>customer 2007</t>
  </si>
  <si>
    <t>customer 2007@gmail.com</t>
  </si>
  <si>
    <t>19f3f0913b632c52f25c428e88dfddc57a613fd6b4d84eca6511bd5f6d943d38</t>
  </si>
  <si>
    <t>customer 418</t>
  </si>
  <si>
    <t>customer 418@gmail.com</t>
  </si>
  <si>
    <t>0b844bf418b0225f8ae80eafcf085473fce6ef56208cf44b63d61e5a8fe6317e</t>
  </si>
  <si>
    <t>customer 16957</t>
  </si>
  <si>
    <t>customer 16957@gmail.com</t>
  </si>
  <si>
    <t>1a425ede994fe31e0819c5d39e70b0ca3f2dd9c9b6347c57ce04ac872adfb972</t>
  </si>
  <si>
    <t>customer 10441</t>
  </si>
  <si>
    <t>Borivali</t>
  </si>
  <si>
    <t>customer 10441@gmail.com</t>
  </si>
  <si>
    <t>0f2a956d705de7413e4dda1614c5c13d2a4370d8f3ec6df28d4eb3de30d2931e</t>
  </si>
  <si>
    <t>customer 7899</t>
  </si>
  <si>
    <t>S V marg</t>
  </si>
  <si>
    <t>customer 7899@gmail.com</t>
  </si>
  <si>
    <t>73049ae6d087f58ceded10d919e1fce4e8aa80167a50c47f5a5816e506d213ad</t>
  </si>
  <si>
    <t>customer 8627</t>
  </si>
  <si>
    <t>customer 8627@gmail.com</t>
  </si>
  <si>
    <t>c379a20ed2cb33dcfe68a47ee9de2361bbe3b8b98c049846bed742b446bfc53f</t>
  </si>
  <si>
    <t>customer 10373</t>
  </si>
  <si>
    <t>customer 10373@gmail.com</t>
  </si>
  <si>
    <t>6425c453776cc4b5c2afeb38b8b319615318858231ef1687e9be66cf5f12a252</t>
  </si>
  <si>
    <t>customer 13184</t>
  </si>
  <si>
    <t>Marine Lines</t>
  </si>
  <si>
    <t>customer 13184@gmail.com</t>
  </si>
  <si>
    <t>8e303ddd0e1ce977645898f69303c554170248aeb014a45423364245a781e0d2</t>
  </si>
  <si>
    <t>customer 10024</t>
  </si>
  <si>
    <t>Lal Baug</t>
  </si>
  <si>
    <t>customer 10024@gmail.com</t>
  </si>
  <si>
    <t>ab70f8a3589eb7406e5035ebf0e13556e838f6fe8b171b85f8a57578ff077cbd</t>
  </si>
  <si>
    <t>customer 16784</t>
  </si>
  <si>
    <t>Aareymilk Colony</t>
  </si>
  <si>
    <t>customer 16784@gmail.com</t>
  </si>
  <si>
    <t>0bc237b14dc53fd12edb1f875440821f1385ff0f9c4437c58e1f61775859eddd</t>
  </si>
  <si>
    <t>customer 338</t>
  </si>
  <si>
    <t>Masjid</t>
  </si>
  <si>
    <t>customer 338@gmail.com</t>
  </si>
  <si>
    <t>5e5fb1cfb67476cebdb609ae53cce2acb8a304089b1526cc5eafa693a557d24a</t>
  </si>
  <si>
    <t>customer 822</t>
  </si>
  <si>
    <t>Hajiali</t>
  </si>
  <si>
    <t>customer 822@gmail.com</t>
  </si>
  <si>
    <t>1ce054888fd07d297644ed9223ba0ca87e3982f9d66f41753430dc3a7e5ea6a0</t>
  </si>
  <si>
    <t>customer 13533</t>
  </si>
  <si>
    <t>Santacruz Central</t>
  </si>
  <si>
    <t>customer 13533@gmail.com</t>
  </si>
  <si>
    <t>7667e12c6898519cfd05495b9b0d8c6f4bc198133a8ead657f97b80d255100bc</t>
  </si>
  <si>
    <t>customer 13530</t>
  </si>
  <si>
    <t>Bangur Nagar</t>
  </si>
  <si>
    <t>customer 13530@gmail.com</t>
  </si>
  <si>
    <t>9e20d81860a052cc85f2ffab184521266d2d5bad8affafd07ffee6ef7bb28040</t>
  </si>
  <si>
    <t>customer 17144</t>
  </si>
  <si>
    <t>Gokhale Road</t>
  </si>
  <si>
    <t>customer 17144@gmail.com</t>
  </si>
  <si>
    <t>1a84f1ae8d3bb0675eb44cda6b475294603ee97bf921ab7ba6453975aa7be705</t>
  </si>
  <si>
    <t>customer 2288</t>
  </si>
  <si>
    <t>New Prabhadevi road</t>
  </si>
  <si>
    <t>customer 2288@gmail.com</t>
  </si>
  <si>
    <t>5fc266f2a1b98ed1028a178e914b5f024c7d0214098d86208412e8436e57e040</t>
  </si>
  <si>
    <t>customer 13532</t>
  </si>
  <si>
    <t>customer 13532@gmail.com</t>
  </si>
  <si>
    <t>da5915f6bc488a1e10a0dba3bc620813ed2352f586c314314a08cee56308ff47</t>
  </si>
  <si>
    <t>customer 2326</t>
  </si>
  <si>
    <t>Worli Sea face</t>
  </si>
  <si>
    <t>customer 2326@gmail.com</t>
  </si>
  <si>
    <t>8a28214a292e2f602b4cc4842cd4e91f5baf1541497b6e030e49924eca3e6cd2</t>
  </si>
  <si>
    <t>customer 10374</t>
  </si>
  <si>
    <t>customer 10374@gmail.com</t>
  </si>
  <si>
    <t>63658e0af5d836a8e9ea3a5b49fe7d9178506532aa8ceafeb871b9e4440389ea</t>
  </si>
  <si>
    <t>customer 2082</t>
  </si>
  <si>
    <t>Sahar P &amp; t colony</t>
  </si>
  <si>
    <t>customer 2082@gmail.com</t>
  </si>
  <si>
    <t>a117d99c8d0823470f3667661c4b429a169468b7e0c29b36e2124430e878cba1</t>
  </si>
  <si>
    <t>customer 2353</t>
  </si>
  <si>
    <t>customer 2353@gmail.com</t>
  </si>
  <si>
    <t>0dab9306d8a962f66a30652a6a74175f28113f9f4d0e73952377ecee9dba8a5f</t>
  </si>
  <si>
    <t>customer 10027</t>
  </si>
  <si>
    <t>Parel Rly work shop</t>
  </si>
  <si>
    <t>customer 10027@gmail.com</t>
  </si>
  <si>
    <t>b46a3b744598c638e071a93db8267bd03fd386aa8f41d699e67eb4badaf62f57</t>
  </si>
  <si>
    <t>customer 366</t>
  </si>
  <si>
    <t>Delisle Road</t>
  </si>
  <si>
    <t>customer 366@gmail.com</t>
  </si>
  <si>
    <t>c50afaa2d2cdc868376dca978bd43bff08d35b48ff7dc38bf07c516cb981d222</t>
  </si>
  <si>
    <t>customer 1031</t>
  </si>
  <si>
    <t>customer 1031@gmail.com</t>
  </si>
  <si>
    <t>530c53f35dacc9715a9f236d24b908c98c3cfca65d9a54a011364c4cfb9f0761</t>
  </si>
  <si>
    <t>customer 13522</t>
  </si>
  <si>
    <t>customer 13522@gmail.com</t>
  </si>
  <si>
    <t>ab6d5decbe0babee60f01d11e904ddccd6130f7b24370df8b0cd8d5a8d22fe4f</t>
  </si>
  <si>
    <t>customer 13521</t>
  </si>
  <si>
    <t>customer 13521@gmail.com</t>
  </si>
  <si>
    <t>aa10150718cf8325c90aa6b916811b6188273fc21cc2a2a21b97dd351027252b</t>
  </si>
  <si>
    <t>customer 10026</t>
  </si>
  <si>
    <t>Vidyanagari</t>
  </si>
  <si>
    <t>customer 10026@gmail.com</t>
  </si>
  <si>
    <t>76e95090b8188966ed936030b7c936dfabbd989b4d618f8311c0f9d47f251a17</t>
  </si>
  <si>
    <t>customer 750</t>
  </si>
  <si>
    <t>Central Building</t>
  </si>
  <si>
    <t>customer 750@gmail.com</t>
  </si>
  <si>
    <t>bec3a37b56e437a09d8613fffa21630d0c72121fd4d70ed20d213ec11f5f0930</t>
  </si>
  <si>
    <t>customer 1055</t>
  </si>
  <si>
    <t>Kidwai Nagar</t>
  </si>
  <si>
    <t>customer 1055@gmail.com</t>
  </si>
  <si>
    <t>d162b0e810dc835a9feb3c86481e59fecf883ad0ac1e037addef58ab05323143</t>
  </si>
  <si>
    <t>customer 786</t>
  </si>
  <si>
    <t>Madhavbaug</t>
  </si>
  <si>
    <t>customer 786@gmail.com</t>
  </si>
  <si>
    <t>2b93fae5a80a5d9a8caefb028b9f2607a20b694b2446c5f1e453a3c1edeb58c7</t>
  </si>
  <si>
    <t>customer 13531</t>
  </si>
  <si>
    <t>customer 13531@gmail.com</t>
  </si>
  <si>
    <t>aa3e6fffcd419b0f0e09b75447fb4f3dcabd0f0acc919fe5f23cf50962781417</t>
  </si>
  <si>
    <t>customer 391</t>
  </si>
  <si>
    <t>M A marg</t>
  </si>
  <si>
    <t>customer 391@gmail.com</t>
  </si>
  <si>
    <t>dfb0efad388abe6a8da6d643959c0343e9f3fc25c4ce80f8e7b8e413b2a76aaa</t>
  </si>
  <si>
    <t>customer 16660</t>
  </si>
  <si>
    <t>Seepz</t>
  </si>
  <si>
    <t>customer 16660@gmail.com</t>
  </si>
  <si>
    <t>6d9a1aa6e10281439691e973467c7077d1fabd1baa1351985bbba5a95623152b</t>
  </si>
  <si>
    <t>customer 2283</t>
  </si>
  <si>
    <t>Malad West dely</t>
  </si>
  <si>
    <t>customer 2283@gmail.com</t>
  </si>
  <si>
    <t>8b4fee0d18c6caef2f726249add7c0ef0d734a0aac7f2e0f59be4dede4fe52cb</t>
  </si>
  <si>
    <t>customer 685</t>
  </si>
  <si>
    <t>Vileparle(west)</t>
  </si>
  <si>
    <t>customer 685@gmail.com</t>
  </si>
  <si>
    <t>ae95e3a2c4a574feb29b58b0e3fef8221ed56571ea8f7d822cad7b99d71e4739</t>
  </si>
  <si>
    <t>customer 7636</t>
  </si>
  <si>
    <t>customer 7636@gmail.com</t>
  </si>
  <si>
    <t>cf1e1f9eb0b1c2c51235c8ae901849aa9ca2db8c0db2309be84dcb169e4bac58</t>
  </si>
  <si>
    <t>customer 1194</t>
  </si>
  <si>
    <t>customer 1194@gmail.com</t>
  </si>
  <si>
    <t>1b107a6aa196e60fa1d928340b87583457d8a07c48d492e05bfab356e408285d</t>
  </si>
  <si>
    <t>customer 2679</t>
  </si>
  <si>
    <t>Mori Road</t>
  </si>
  <si>
    <t>customer 2679@gmail.com</t>
  </si>
  <si>
    <t>71d8238b621041ab363eabcaeeb33764140e18754fb47096cfef07e26f0372c4</t>
  </si>
  <si>
    <t>customer 2158</t>
  </si>
  <si>
    <t>Tajmahal</t>
  </si>
  <si>
    <t>customer 2158@gmail.com</t>
  </si>
  <si>
    <t>b4eee897c47c6a404871c1c59a2ddb0e5d39e2833f1da902adeb1114ef6fba08</t>
  </si>
  <si>
    <t>customer 1159</t>
  </si>
  <si>
    <t>customer 1159@gmail.com</t>
  </si>
  <si>
    <t>2bfa9328fd24fb27b12e3bdcf6c4ac578a5c5abd66141631c400587570c7bc86</t>
  </si>
  <si>
    <t>customer 82</t>
  </si>
  <si>
    <t>Hanuman Road</t>
  </si>
  <si>
    <t>customer 82@gmail.com</t>
  </si>
  <si>
    <t>f3202e71de3f00856fd2885cf739657a69e9c9260bd76515d19b1151b4c9b9c7</t>
  </si>
  <si>
    <t>customer 16992</t>
  </si>
  <si>
    <t>Girgaon</t>
  </si>
  <si>
    <t>customer 16992@gmail.com</t>
  </si>
  <si>
    <t>d03343373ba1178f44b22550f4ef3a72684152f6459493231c1c2d26f16230f0</t>
  </si>
  <si>
    <t>customer 1596</t>
  </si>
  <si>
    <t>customer 1596@gmail.com</t>
  </si>
  <si>
    <t>d5c1ec88bc526af2a1a621c19cd781da650f882240ac92827d2c637dd85f3ac1</t>
  </si>
  <si>
    <t>customer 974</t>
  </si>
  <si>
    <t>M.P.t.</t>
  </si>
  <si>
    <t>customer 974@gmail.com</t>
  </si>
  <si>
    <t>33f8c4f01db5e9becf2eeca7cf8805b528387f7a7f677cf8b4d45d8b730a8209</t>
  </si>
  <si>
    <t>customer 1948</t>
  </si>
  <si>
    <t>Bazargate</t>
  </si>
  <si>
    <t>customer 1948@gmail.com</t>
  </si>
  <si>
    <t>a98e9b7e863cea39f0754c61e292b0b488701b8bf2b7a1c5e1cc57dd1da1a399</t>
  </si>
  <si>
    <t>customer 12944</t>
  </si>
  <si>
    <t>customer 12944@gmail.com</t>
  </si>
  <si>
    <t>60385121f0db226a63905d777958c64b375d8505c40e77cb7eaf04c49ccaffb4</t>
  </si>
  <si>
    <t>customer 8823</t>
  </si>
  <si>
    <t>customer 8823@gmail.com</t>
  </si>
  <si>
    <t>85ae2962d412320b127d98a4b5732d964cdad21a20c501ea9bade5526d4ee603</t>
  </si>
  <si>
    <t>customer 5459</t>
  </si>
  <si>
    <t>customer 5459@gmail.com</t>
  </si>
  <si>
    <t>73053f021a10c86de3b6b5e5b1f8c24fb71eeba2b1f82dde25c97d30c17e6be5</t>
  </si>
  <si>
    <t>customer 10782</t>
  </si>
  <si>
    <t>customer 10782@gmail.com</t>
  </si>
  <si>
    <t>showroom</t>
  </si>
  <si>
    <t>division</t>
  </si>
  <si>
    <t>zone</t>
  </si>
  <si>
    <t>territory</t>
  </si>
  <si>
    <t>plantdescription</t>
  </si>
  <si>
    <t>f055b4739b9e2eae4a1634cd1bf2233b577b2bdb3a47e3cc3247b02242398d71</t>
  </si>
  <si>
    <t>AND</t>
  </si>
  <si>
    <t>Mumbai Suburban</t>
  </si>
  <si>
    <t>Western Zone</t>
  </si>
  <si>
    <t>Andheri</t>
  </si>
  <si>
    <t>Lokhandwala</t>
  </si>
  <si>
    <t>1a6ea8997a0742df8959f9b5ee074c4b280c8423166be19d9f3bb073d2f4be51</t>
  </si>
  <si>
    <t>BAN</t>
  </si>
  <si>
    <t>Bandra</t>
  </si>
  <si>
    <t>Bandstand</t>
  </si>
  <si>
    <t>c1515cfff734a429a13fa0a2eb0f5e6522e88e3c913edfe3eb254b3d31965a34</t>
  </si>
  <si>
    <t>BOR</t>
  </si>
  <si>
    <t>Sanjay Gandhi NP</t>
  </si>
  <si>
    <t>8d7c7ecb8b56a5d6a437e1024ac00d644ab8e9e4ca01a4893d2cce44d0780763</t>
  </si>
  <si>
    <t>COL</t>
  </si>
  <si>
    <t>Mumbai City</t>
  </si>
  <si>
    <t>Southern Zone</t>
  </si>
  <si>
    <t>Colaba</t>
  </si>
  <si>
    <t>Gateway of India</t>
  </si>
  <si>
    <t>94f64dd618a0b215d2500a467b506dbdbedf6ffb2ea6179084ddd904da55632a</t>
  </si>
  <si>
    <t>DAD</t>
  </si>
  <si>
    <t>Central Zone</t>
  </si>
  <si>
    <t>Shivaji Park</t>
  </si>
  <si>
    <t>0dbc491c62dee40c583d937e5ee00c7b0959139214ae2f9e52798f59bfe97862</t>
  </si>
  <si>
    <t>GHA</t>
  </si>
  <si>
    <t>Ghatkopar</t>
  </si>
  <si>
    <t>R City Mall</t>
  </si>
  <si>
    <t>a402d4cc7009b2ad4b5dc6c65523645857daaae896a31dc6967645bf08c2f7cf</t>
  </si>
  <si>
    <t>JUH</t>
  </si>
  <si>
    <t>Juhu Beach</t>
  </si>
  <si>
    <t>40c8cf23bc33f6b9dca376e08fc7124bc6b54e5446a60946c24737b3db69fb23</t>
  </si>
  <si>
    <t>MAL</t>
  </si>
  <si>
    <t>Malad</t>
  </si>
  <si>
    <t>Inorbit Mall</t>
  </si>
  <si>
    <t>4fbc5d6c8b1fe3c64d7cc39d3971c2e21f4e7d4602b7feab2e0c32f7778b40e4</t>
  </si>
  <si>
    <t>POW</t>
  </si>
  <si>
    <t>Powai</t>
  </si>
  <si>
    <t>Powai Lake</t>
  </si>
  <si>
    <t>90eb7d2c5d535a3d9de73b2a906ca39b67b98323cc112cf231c193904c2680dd</t>
  </si>
  <si>
    <t>WOR</t>
  </si>
  <si>
    <t>Worli Sea Face</t>
  </si>
  <si>
    <t>sitekey</t>
  </si>
  <si>
    <t>sotpkey</t>
  </si>
  <si>
    <t>skukey</t>
  </si>
  <si>
    <t>profcenterkey</t>
  </si>
  <si>
    <t>billingdatekey</t>
  </si>
  <si>
    <t>yearmonth</t>
  </si>
  <si>
    <t>billingtype</t>
  </si>
  <si>
    <t>salestype</t>
  </si>
  <si>
    <t>iscancelled</t>
  </si>
  <si>
    <t>billingdocnum</t>
  </si>
  <si>
    <t>canbilldocnum</t>
  </si>
  <si>
    <t>currency</t>
  </si>
  <si>
    <t>timestamp</t>
  </si>
  <si>
    <t>qty</t>
  </si>
  <si>
    <t>cashprice</t>
  </si>
  <si>
    <t>disc</t>
  </si>
  <si>
    <t>baseprice</t>
  </si>
  <si>
    <t>vatamount</t>
  </si>
  <si>
    <t>otheramount</t>
  </si>
  <si>
    <t>hireincome</t>
  </si>
  <si>
    <t>hireagrfee</t>
  </si>
  <si>
    <t>grosstotal</t>
  </si>
  <si>
    <t>ZHS</t>
  </si>
  <si>
    <t>INR</t>
  </si>
  <si>
    <t>ZCS</t>
  </si>
  <si>
    <t>ZREP</t>
  </si>
  <si>
    <t>ZRPO</t>
  </si>
  <si>
    <t>ZIB</t>
  </si>
  <si>
    <t>articlekey</t>
  </si>
  <si>
    <t>targetquantity</t>
  </si>
  <si>
    <t>targetamount</t>
  </si>
  <si>
    <t>unitprice</t>
  </si>
  <si>
    <t>Date</t>
  </si>
  <si>
    <t>customerid</t>
  </si>
  <si>
    <t>productid</t>
  </si>
  <si>
    <t>productid()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</si>
</sst>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7" fontId="0" fillId="0" borderId="0" xfId="0" applyNumberFormat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262F1-B277-49F2-A7AF-F263CDA2F778}">
  <dimension ref="A1:J101"/>
  <sheetViews>
    <sheetView tabSelected="1" workbookViewId="0"/>
  </sheetViews>
  <sheetFormatPr defaultRowHeight="14.5" x14ac:dyDescent="0.35"/>
  <cols>
    <col min="1" max="1" width="16.90625" bestFit="1" customWidth="1"/>
    <col min="2" max="2" width="66.08984375" bestFit="1" customWidth="1"/>
    <col min="3" max="3" width="21.1796875" bestFit="1" customWidth="1"/>
    <col min="4" max="4" width="14" bestFit="1" customWidth="1"/>
    <col min="5" max="5" width="21.453125" bestFit="1" customWidth="1"/>
    <col min="6" max="6" width="16.6328125" bestFit="1" customWidth="1"/>
    <col min="7" max="7" width="9.90625" bestFit="1" customWidth="1"/>
    <col min="8" max="8" width="23" bestFit="1" customWidth="1"/>
    <col min="9" max="9" width="24.26953125" bestFit="1" customWidth="1"/>
    <col min="10" max="10" width="22.26953125" bestFit="1" customWidth="1"/>
  </cols>
  <sheetData>
    <row r="1" spans="1:10" ht="23.5" x14ac:dyDescent="0.35">
      <c r="A1" s="1" t="s">
        <v>556</v>
      </c>
      <c r="B1" s="1" t="s">
        <v>23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99</v>
      </c>
      <c r="H1" s="1" t="s">
        <v>105</v>
      </c>
      <c r="I1" s="1" t="s">
        <v>106</v>
      </c>
      <c r="J1" s="1" t="s">
        <v>24</v>
      </c>
    </row>
    <row r="2" spans="1:10" x14ac:dyDescent="0.35">
      <c r="A2" s="2">
        <v>1</v>
      </c>
      <c r="B2" s="2" t="s">
        <v>26</v>
      </c>
      <c r="C2" s="2">
        <v>99999999999</v>
      </c>
      <c r="D2" s="2" t="s">
        <v>26</v>
      </c>
      <c r="E2" s="2">
        <v>9999999999</v>
      </c>
      <c r="F2" s="2">
        <v>999999</v>
      </c>
      <c r="G2" s="2" t="s">
        <v>26</v>
      </c>
      <c r="H2" s="2" t="s">
        <v>26</v>
      </c>
      <c r="I2" s="2" t="s">
        <v>26</v>
      </c>
      <c r="J2" s="3">
        <v>45912.831524988425</v>
      </c>
    </row>
    <row r="3" spans="1:10" x14ac:dyDescent="0.35">
      <c r="A3" s="2">
        <v>2</v>
      </c>
      <c r="B3" s="2" t="s">
        <v>107</v>
      </c>
      <c r="C3" s="2">
        <v>10001036649</v>
      </c>
      <c r="D3" s="2" t="s">
        <v>108</v>
      </c>
      <c r="E3" s="2">
        <v>8626684406</v>
      </c>
      <c r="F3" s="2">
        <v>400004</v>
      </c>
      <c r="G3" s="2" t="s">
        <v>100</v>
      </c>
      <c r="H3" s="2" t="s">
        <v>109</v>
      </c>
      <c r="I3" s="2" t="s">
        <v>110</v>
      </c>
      <c r="J3" s="3">
        <v>45913.41644854167</v>
      </c>
    </row>
    <row r="4" spans="1:10" x14ac:dyDescent="0.35">
      <c r="A4" s="2">
        <v>3</v>
      </c>
      <c r="B4" s="2" t="s">
        <v>111</v>
      </c>
      <c r="C4" s="2">
        <v>10001039189</v>
      </c>
      <c r="D4" s="2" t="s">
        <v>112</v>
      </c>
      <c r="E4" s="2">
        <v>7700725818</v>
      </c>
      <c r="F4" s="2">
        <v>400027</v>
      </c>
      <c r="G4" s="2" t="s">
        <v>100</v>
      </c>
      <c r="H4" s="2" t="s">
        <v>113</v>
      </c>
      <c r="I4" s="2" t="s">
        <v>114</v>
      </c>
      <c r="J4" s="3">
        <v>45913.41644854167</v>
      </c>
    </row>
    <row r="5" spans="1:10" x14ac:dyDescent="0.35">
      <c r="A5" s="2">
        <v>4</v>
      </c>
      <c r="B5" s="2" t="s">
        <v>115</v>
      </c>
      <c r="C5" s="2">
        <v>10001039309</v>
      </c>
      <c r="D5" s="2" t="s">
        <v>116</v>
      </c>
      <c r="E5" s="2">
        <v>7710007788</v>
      </c>
      <c r="F5" s="2">
        <v>400058</v>
      </c>
      <c r="G5" s="2" t="s">
        <v>100</v>
      </c>
      <c r="H5" s="2" t="s">
        <v>117</v>
      </c>
      <c r="I5" s="2" t="s">
        <v>118</v>
      </c>
      <c r="J5" s="3">
        <v>45913.41644854167</v>
      </c>
    </row>
    <row r="6" spans="1:10" x14ac:dyDescent="0.35">
      <c r="A6" s="2">
        <v>5</v>
      </c>
      <c r="B6" s="2" t="s">
        <v>119</v>
      </c>
      <c r="C6" s="2">
        <v>10001148749</v>
      </c>
      <c r="D6" s="2" t="s">
        <v>120</v>
      </c>
      <c r="E6" s="2">
        <v>7729058358</v>
      </c>
      <c r="F6" s="2">
        <v>400052</v>
      </c>
      <c r="G6" s="2" t="s">
        <v>100</v>
      </c>
      <c r="H6" s="2" t="s">
        <v>121</v>
      </c>
      <c r="I6" s="2" t="s">
        <v>122</v>
      </c>
      <c r="J6" s="3">
        <v>45913.41644854167</v>
      </c>
    </row>
    <row r="7" spans="1:10" x14ac:dyDescent="0.35">
      <c r="A7" s="2">
        <v>6</v>
      </c>
      <c r="B7" s="2" t="s">
        <v>123</v>
      </c>
      <c r="C7" s="2">
        <v>10001211189</v>
      </c>
      <c r="D7" s="2" t="s">
        <v>124</v>
      </c>
      <c r="E7" s="2">
        <v>8612061426</v>
      </c>
      <c r="F7" s="2">
        <v>400009</v>
      </c>
      <c r="G7" s="2" t="s">
        <v>100</v>
      </c>
      <c r="H7" s="2" t="s">
        <v>125</v>
      </c>
      <c r="I7" s="2" t="s">
        <v>126</v>
      </c>
      <c r="J7" s="3">
        <v>45913.41644854167</v>
      </c>
    </row>
    <row r="8" spans="1:10" x14ac:dyDescent="0.35">
      <c r="A8" s="2">
        <v>7</v>
      </c>
      <c r="B8" s="2" t="s">
        <v>127</v>
      </c>
      <c r="C8" s="2">
        <v>10001262929</v>
      </c>
      <c r="D8" s="2" t="s">
        <v>128</v>
      </c>
      <c r="E8" s="2">
        <v>7741722596</v>
      </c>
      <c r="F8" s="2">
        <v>400014</v>
      </c>
      <c r="G8" s="2" t="s">
        <v>100</v>
      </c>
      <c r="H8" s="2" t="s">
        <v>129</v>
      </c>
      <c r="I8" s="2" t="s">
        <v>130</v>
      </c>
      <c r="J8" s="3">
        <v>45913.41644854167</v>
      </c>
    </row>
    <row r="9" spans="1:10" x14ac:dyDescent="0.35">
      <c r="A9" s="2">
        <v>8</v>
      </c>
      <c r="B9" s="2" t="s">
        <v>131</v>
      </c>
      <c r="C9" s="2">
        <v>10001266659</v>
      </c>
      <c r="D9" s="2" t="s">
        <v>132</v>
      </c>
      <c r="E9" s="2">
        <v>7790156249</v>
      </c>
      <c r="F9" s="2">
        <v>400097</v>
      </c>
      <c r="G9" s="2" t="s">
        <v>100</v>
      </c>
      <c r="H9" s="2" t="s">
        <v>133</v>
      </c>
      <c r="I9" s="2" t="s">
        <v>134</v>
      </c>
      <c r="J9" s="3">
        <v>45913.41644854167</v>
      </c>
    </row>
    <row r="10" spans="1:10" x14ac:dyDescent="0.35">
      <c r="A10" s="2">
        <v>9</v>
      </c>
      <c r="B10" s="2" t="s">
        <v>135</v>
      </c>
      <c r="C10" s="2">
        <v>10001279369</v>
      </c>
      <c r="D10" s="2" t="s">
        <v>136</v>
      </c>
      <c r="E10" s="2">
        <v>9304852847</v>
      </c>
      <c r="F10" s="2">
        <v>400066</v>
      </c>
      <c r="G10" s="2" t="s">
        <v>100</v>
      </c>
      <c r="H10" s="2" t="s">
        <v>137</v>
      </c>
      <c r="I10" s="2" t="s">
        <v>138</v>
      </c>
      <c r="J10" s="3">
        <v>45913.41644854167</v>
      </c>
    </row>
    <row r="11" spans="1:10" x14ac:dyDescent="0.35">
      <c r="A11" s="2">
        <v>10</v>
      </c>
      <c r="B11" s="2" t="s">
        <v>139</v>
      </c>
      <c r="C11" s="2">
        <v>10001287299</v>
      </c>
      <c r="D11" s="2" t="s">
        <v>140</v>
      </c>
      <c r="E11" s="2">
        <v>8631948722</v>
      </c>
      <c r="F11" s="2">
        <v>400102</v>
      </c>
      <c r="G11" s="2" t="s">
        <v>100</v>
      </c>
      <c r="H11" s="2" t="s">
        <v>141</v>
      </c>
      <c r="I11" s="2" t="s">
        <v>142</v>
      </c>
      <c r="J11" s="3">
        <v>45913.41644854167</v>
      </c>
    </row>
    <row r="12" spans="1:10" x14ac:dyDescent="0.35">
      <c r="A12" s="2">
        <v>11</v>
      </c>
      <c r="B12" s="2" t="s">
        <v>143</v>
      </c>
      <c r="C12" s="2">
        <v>10001318199</v>
      </c>
      <c r="D12" s="2" t="s">
        <v>144</v>
      </c>
      <c r="E12" s="2">
        <v>7742981745</v>
      </c>
      <c r="F12" s="2">
        <v>400051</v>
      </c>
      <c r="G12" s="2" t="s">
        <v>100</v>
      </c>
      <c r="H12" s="2" t="s">
        <v>145</v>
      </c>
      <c r="I12" s="2" t="s">
        <v>146</v>
      </c>
      <c r="J12" s="3">
        <v>45913.41644854167</v>
      </c>
    </row>
    <row r="13" spans="1:10" x14ac:dyDescent="0.35">
      <c r="A13" s="2">
        <v>12</v>
      </c>
      <c r="B13" s="2" t="s">
        <v>147</v>
      </c>
      <c r="C13" s="2">
        <v>10001326819</v>
      </c>
      <c r="D13" s="2" t="s">
        <v>148</v>
      </c>
      <c r="E13" s="2">
        <v>7736636268</v>
      </c>
      <c r="F13" s="2">
        <v>400017</v>
      </c>
      <c r="G13" s="2" t="s">
        <v>100</v>
      </c>
      <c r="H13" s="2" t="s">
        <v>149</v>
      </c>
      <c r="I13" s="2" t="s">
        <v>150</v>
      </c>
      <c r="J13" s="3">
        <v>45913.41644854167</v>
      </c>
    </row>
    <row r="14" spans="1:10" x14ac:dyDescent="0.35">
      <c r="A14" s="2">
        <v>13</v>
      </c>
      <c r="B14" s="2" t="s">
        <v>151</v>
      </c>
      <c r="C14" s="2">
        <v>10001342689</v>
      </c>
      <c r="D14" s="2" t="s">
        <v>152</v>
      </c>
      <c r="E14" s="2">
        <v>7726425296</v>
      </c>
      <c r="F14" s="2">
        <v>400099</v>
      </c>
      <c r="G14" s="2" t="s">
        <v>100</v>
      </c>
      <c r="H14" s="2" t="s">
        <v>153</v>
      </c>
      <c r="I14" s="2" t="s">
        <v>154</v>
      </c>
      <c r="J14" s="3">
        <v>45913.41644854167</v>
      </c>
    </row>
    <row r="15" spans="1:10" x14ac:dyDescent="0.35">
      <c r="A15" s="2">
        <v>14</v>
      </c>
      <c r="B15" s="2" t="s">
        <v>155</v>
      </c>
      <c r="C15" s="2">
        <v>10001356879</v>
      </c>
      <c r="D15" s="2" t="s">
        <v>156</v>
      </c>
      <c r="E15" s="2">
        <v>7722519939</v>
      </c>
      <c r="F15" s="2">
        <v>400060</v>
      </c>
      <c r="G15" s="2" t="s">
        <v>100</v>
      </c>
      <c r="H15" s="2" t="s">
        <v>157</v>
      </c>
      <c r="I15" s="2" t="s">
        <v>158</v>
      </c>
      <c r="J15" s="3">
        <v>45913.41644854167</v>
      </c>
    </row>
    <row r="16" spans="1:10" x14ac:dyDescent="0.35">
      <c r="A16" s="2">
        <v>15</v>
      </c>
      <c r="B16" s="2" t="s">
        <v>159</v>
      </c>
      <c r="C16" s="2">
        <v>10001378929</v>
      </c>
      <c r="D16" s="2" t="s">
        <v>160</v>
      </c>
      <c r="E16" s="2">
        <v>0</v>
      </c>
      <c r="F16" s="2">
        <v>400026</v>
      </c>
      <c r="G16" s="2" t="s">
        <v>100</v>
      </c>
      <c r="H16" s="2" t="s">
        <v>161</v>
      </c>
      <c r="I16" s="2" t="s">
        <v>162</v>
      </c>
      <c r="J16" s="3">
        <v>45913.41644854167</v>
      </c>
    </row>
    <row r="17" spans="1:10" x14ac:dyDescent="0.35">
      <c r="A17" s="2">
        <v>16</v>
      </c>
      <c r="B17" s="2" t="s">
        <v>163</v>
      </c>
      <c r="C17" s="2">
        <v>10001380119</v>
      </c>
      <c r="D17" s="2" t="s">
        <v>164</v>
      </c>
      <c r="E17" s="2">
        <v>7818547518</v>
      </c>
      <c r="F17" s="2">
        <v>400052</v>
      </c>
      <c r="G17" s="2" t="s">
        <v>100</v>
      </c>
      <c r="H17" s="2" t="s">
        <v>121</v>
      </c>
      <c r="I17" s="2" t="s">
        <v>165</v>
      </c>
      <c r="J17" s="3">
        <v>45913.41644854167</v>
      </c>
    </row>
    <row r="18" spans="1:10" x14ac:dyDescent="0.35">
      <c r="A18" s="2">
        <v>17</v>
      </c>
      <c r="B18" s="2" t="s">
        <v>166</v>
      </c>
      <c r="C18" s="2">
        <v>10001380199</v>
      </c>
      <c r="D18" s="2" t="s">
        <v>167</v>
      </c>
      <c r="E18" s="2">
        <v>7710006740</v>
      </c>
      <c r="F18" s="2">
        <v>400007</v>
      </c>
      <c r="G18" s="2" t="s">
        <v>100</v>
      </c>
      <c r="H18" s="2" t="s">
        <v>168</v>
      </c>
      <c r="I18" s="2" t="s">
        <v>169</v>
      </c>
      <c r="J18" s="3">
        <v>45913.41644854167</v>
      </c>
    </row>
    <row r="19" spans="1:10" x14ac:dyDescent="0.35">
      <c r="A19" s="2">
        <v>18</v>
      </c>
      <c r="B19" s="2" t="s">
        <v>170</v>
      </c>
      <c r="C19" s="2">
        <v>10001400099</v>
      </c>
      <c r="D19" s="2" t="s">
        <v>171</v>
      </c>
      <c r="E19" s="2">
        <v>7285502660</v>
      </c>
      <c r="F19" s="2">
        <v>400064</v>
      </c>
      <c r="G19" s="2" t="s">
        <v>100</v>
      </c>
      <c r="H19" s="2" t="s">
        <v>172</v>
      </c>
      <c r="I19" s="2" t="s">
        <v>173</v>
      </c>
      <c r="J19" s="3">
        <v>45913.41644854167</v>
      </c>
    </row>
    <row r="20" spans="1:10" x14ac:dyDescent="0.35">
      <c r="A20" s="2">
        <v>19</v>
      </c>
      <c r="B20" s="2" t="s">
        <v>174</v>
      </c>
      <c r="C20" s="2">
        <v>10001448849</v>
      </c>
      <c r="D20" s="2" t="s">
        <v>175</v>
      </c>
      <c r="E20" s="2">
        <v>0</v>
      </c>
      <c r="F20" s="2">
        <v>400035</v>
      </c>
      <c r="G20" s="2" t="s">
        <v>100</v>
      </c>
      <c r="H20" s="2" t="s">
        <v>176</v>
      </c>
      <c r="I20" s="2" t="s">
        <v>177</v>
      </c>
      <c r="J20" s="3">
        <v>45913.41644854167</v>
      </c>
    </row>
    <row r="21" spans="1:10" x14ac:dyDescent="0.35">
      <c r="A21" s="2">
        <v>20</v>
      </c>
      <c r="B21" s="2" t="s">
        <v>178</v>
      </c>
      <c r="C21" s="2">
        <v>10001448919</v>
      </c>
      <c r="D21" s="2" t="s">
        <v>179</v>
      </c>
      <c r="E21" s="2">
        <v>0</v>
      </c>
      <c r="F21" s="2">
        <v>400066</v>
      </c>
      <c r="G21" s="2" t="s">
        <v>100</v>
      </c>
      <c r="H21" s="2" t="s">
        <v>137</v>
      </c>
      <c r="I21" s="2" t="s">
        <v>180</v>
      </c>
      <c r="J21" s="3">
        <v>45913.41644854167</v>
      </c>
    </row>
    <row r="22" spans="1:10" x14ac:dyDescent="0.35">
      <c r="A22" s="2">
        <v>21</v>
      </c>
      <c r="B22" s="2" t="s">
        <v>181</v>
      </c>
      <c r="C22" s="2">
        <v>10001458739</v>
      </c>
      <c r="D22" s="2" t="s">
        <v>182</v>
      </c>
      <c r="E22" s="2">
        <v>8189386371</v>
      </c>
      <c r="F22" s="2">
        <v>400026</v>
      </c>
      <c r="G22" s="2" t="s">
        <v>100</v>
      </c>
      <c r="H22" s="2" t="s">
        <v>183</v>
      </c>
      <c r="I22" s="2" t="s">
        <v>184</v>
      </c>
      <c r="J22" s="3">
        <v>45913.41644854167</v>
      </c>
    </row>
    <row r="23" spans="1:10" x14ac:dyDescent="0.35">
      <c r="A23" s="2">
        <v>22</v>
      </c>
      <c r="B23" s="2" t="s">
        <v>185</v>
      </c>
      <c r="C23" s="2">
        <v>10001512569</v>
      </c>
      <c r="D23" s="2" t="s">
        <v>186</v>
      </c>
      <c r="E23" s="2">
        <v>7730483103</v>
      </c>
      <c r="F23" s="2">
        <v>400033</v>
      </c>
      <c r="G23" s="2" t="s">
        <v>100</v>
      </c>
      <c r="H23" s="2" t="s">
        <v>187</v>
      </c>
      <c r="I23" s="2" t="s">
        <v>188</v>
      </c>
      <c r="J23" s="3">
        <v>45913.41644854167</v>
      </c>
    </row>
    <row r="24" spans="1:10" x14ac:dyDescent="0.35">
      <c r="A24" s="2">
        <v>23</v>
      </c>
      <c r="B24" s="2" t="s">
        <v>189</v>
      </c>
      <c r="C24" s="2">
        <v>10001528919</v>
      </c>
      <c r="D24" s="2" t="s">
        <v>190</v>
      </c>
      <c r="E24" s="2">
        <v>7731454635</v>
      </c>
      <c r="F24" s="2">
        <v>400092</v>
      </c>
      <c r="G24" s="2" t="s">
        <v>100</v>
      </c>
      <c r="H24" s="2" t="s">
        <v>191</v>
      </c>
      <c r="I24" s="2" t="s">
        <v>192</v>
      </c>
      <c r="J24" s="3">
        <v>45913.41644854167</v>
      </c>
    </row>
    <row r="25" spans="1:10" x14ac:dyDescent="0.35">
      <c r="A25" s="2">
        <v>24</v>
      </c>
      <c r="B25" s="2" t="s">
        <v>193</v>
      </c>
      <c r="C25" s="2">
        <v>10001533469</v>
      </c>
      <c r="D25" s="2" t="s">
        <v>194</v>
      </c>
      <c r="E25" s="2">
        <v>0</v>
      </c>
      <c r="F25" s="2">
        <v>400097</v>
      </c>
      <c r="G25" s="2" t="s">
        <v>100</v>
      </c>
      <c r="H25" s="2" t="s">
        <v>133</v>
      </c>
      <c r="I25" s="2" t="s">
        <v>195</v>
      </c>
      <c r="J25" s="3">
        <v>45913.41644854167</v>
      </c>
    </row>
    <row r="26" spans="1:10" x14ac:dyDescent="0.35">
      <c r="A26" s="2">
        <v>25</v>
      </c>
      <c r="B26" s="2" t="s">
        <v>196</v>
      </c>
      <c r="C26" s="2">
        <v>10001533569</v>
      </c>
      <c r="D26" s="2" t="s">
        <v>197</v>
      </c>
      <c r="E26" s="2">
        <v>7708050329</v>
      </c>
      <c r="F26" s="2">
        <v>400005</v>
      </c>
      <c r="G26" s="2" t="s">
        <v>100</v>
      </c>
      <c r="H26" s="2" t="s">
        <v>198</v>
      </c>
      <c r="I26" s="2" t="s">
        <v>199</v>
      </c>
      <c r="J26" s="3">
        <v>45913.41644854167</v>
      </c>
    </row>
    <row r="27" spans="1:10" x14ac:dyDescent="0.35">
      <c r="A27" s="2">
        <v>26</v>
      </c>
      <c r="B27" s="2" t="s">
        <v>200</v>
      </c>
      <c r="C27" s="2">
        <v>10001533779</v>
      </c>
      <c r="D27" s="2" t="s">
        <v>201</v>
      </c>
      <c r="E27" s="2">
        <v>8604105732</v>
      </c>
      <c r="F27" s="2">
        <v>400054</v>
      </c>
      <c r="G27" s="2" t="s">
        <v>100</v>
      </c>
      <c r="H27" s="2" t="s">
        <v>202</v>
      </c>
      <c r="I27" s="2" t="s">
        <v>203</v>
      </c>
      <c r="J27" s="3">
        <v>45913.41644854167</v>
      </c>
    </row>
    <row r="28" spans="1:10" x14ac:dyDescent="0.35">
      <c r="A28" s="2">
        <v>27</v>
      </c>
      <c r="B28" s="2" t="s">
        <v>204</v>
      </c>
      <c r="C28" s="2">
        <v>10001614579</v>
      </c>
      <c r="D28" s="2" t="s">
        <v>205</v>
      </c>
      <c r="E28" s="2">
        <v>8185540824</v>
      </c>
      <c r="F28" s="2">
        <v>400102</v>
      </c>
      <c r="G28" s="2" t="s">
        <v>100</v>
      </c>
      <c r="H28" s="2" t="s">
        <v>206</v>
      </c>
      <c r="I28" s="2" t="s">
        <v>207</v>
      </c>
      <c r="J28" s="3">
        <v>45913.41644854167</v>
      </c>
    </row>
    <row r="29" spans="1:10" x14ac:dyDescent="0.35">
      <c r="A29" s="2">
        <v>28</v>
      </c>
      <c r="B29" s="2" t="s">
        <v>208</v>
      </c>
      <c r="C29" s="2">
        <v>10001615429</v>
      </c>
      <c r="D29" s="2" t="s">
        <v>209</v>
      </c>
      <c r="E29" s="2">
        <v>0</v>
      </c>
      <c r="F29" s="2">
        <v>400060</v>
      </c>
      <c r="G29" s="2" t="s">
        <v>100</v>
      </c>
      <c r="H29" s="2" t="s">
        <v>210</v>
      </c>
      <c r="I29" s="2" t="s">
        <v>211</v>
      </c>
      <c r="J29" s="3">
        <v>45913.41644854167</v>
      </c>
    </row>
    <row r="30" spans="1:10" x14ac:dyDescent="0.35">
      <c r="A30" s="2">
        <v>29</v>
      </c>
      <c r="B30" s="2" t="s">
        <v>212</v>
      </c>
      <c r="C30" s="2">
        <v>10001624299</v>
      </c>
      <c r="D30" s="2" t="s">
        <v>213</v>
      </c>
      <c r="E30" s="2">
        <v>7718224901</v>
      </c>
      <c r="F30" s="2">
        <v>400008</v>
      </c>
      <c r="G30" s="2" t="s">
        <v>100</v>
      </c>
      <c r="H30" s="2" t="s">
        <v>214</v>
      </c>
      <c r="I30" s="2" t="s">
        <v>215</v>
      </c>
      <c r="J30" s="3">
        <v>45913.41644854167</v>
      </c>
    </row>
    <row r="31" spans="1:10" x14ac:dyDescent="0.35">
      <c r="A31" s="2">
        <v>30</v>
      </c>
      <c r="B31" s="2" t="s">
        <v>216</v>
      </c>
      <c r="C31" s="2">
        <v>10001629999</v>
      </c>
      <c r="D31" s="2" t="s">
        <v>217</v>
      </c>
      <c r="E31" s="2">
        <v>7771549761</v>
      </c>
      <c r="F31" s="2">
        <v>400019</v>
      </c>
      <c r="G31" s="2" t="s">
        <v>100</v>
      </c>
      <c r="H31" s="2" t="s">
        <v>218</v>
      </c>
      <c r="I31" s="2" t="s">
        <v>219</v>
      </c>
      <c r="J31" s="3">
        <v>45913.41644854167</v>
      </c>
    </row>
    <row r="32" spans="1:10" x14ac:dyDescent="0.35">
      <c r="A32" s="2">
        <v>31</v>
      </c>
      <c r="B32" s="2" t="s">
        <v>220</v>
      </c>
      <c r="C32" s="2">
        <v>10001644209</v>
      </c>
      <c r="D32" s="2" t="s">
        <v>221</v>
      </c>
      <c r="E32" s="2">
        <v>7733086200</v>
      </c>
      <c r="F32" s="2">
        <v>400062</v>
      </c>
      <c r="G32" s="2" t="s">
        <v>100</v>
      </c>
      <c r="H32" s="2" t="s">
        <v>222</v>
      </c>
      <c r="I32" s="2" t="s">
        <v>223</v>
      </c>
      <c r="J32" s="3">
        <v>45913.41644854167</v>
      </c>
    </row>
    <row r="33" spans="1:10" x14ac:dyDescent="0.35">
      <c r="A33" s="2">
        <v>32</v>
      </c>
      <c r="B33" s="2" t="s">
        <v>224</v>
      </c>
      <c r="C33" s="2">
        <v>10001650249</v>
      </c>
      <c r="D33" s="2" t="s">
        <v>225</v>
      </c>
      <c r="E33" s="2">
        <v>7800904629</v>
      </c>
      <c r="F33" s="2">
        <v>400057</v>
      </c>
      <c r="G33" s="2" t="s">
        <v>100</v>
      </c>
      <c r="H33" s="2" t="s">
        <v>226</v>
      </c>
      <c r="I33" s="2" t="s">
        <v>227</v>
      </c>
      <c r="J33" s="3">
        <v>45913.41644854167</v>
      </c>
    </row>
    <row r="34" spans="1:10" x14ac:dyDescent="0.35">
      <c r="A34" s="2">
        <v>33</v>
      </c>
      <c r="B34" s="2" t="s">
        <v>228</v>
      </c>
      <c r="C34" s="2">
        <v>10001662379</v>
      </c>
      <c r="D34" s="2" t="s">
        <v>229</v>
      </c>
      <c r="E34" s="2">
        <v>7767974210</v>
      </c>
      <c r="F34" s="2">
        <v>400059</v>
      </c>
      <c r="G34" s="2" t="s">
        <v>100</v>
      </c>
      <c r="H34" s="2" t="s">
        <v>230</v>
      </c>
      <c r="I34" s="2" t="s">
        <v>231</v>
      </c>
      <c r="J34" s="3">
        <v>45913.41644854167</v>
      </c>
    </row>
    <row r="35" spans="1:10" x14ac:dyDescent="0.35">
      <c r="A35" s="2">
        <v>34</v>
      </c>
      <c r="B35" s="2" t="s">
        <v>232</v>
      </c>
      <c r="C35" s="2">
        <v>10001664149</v>
      </c>
      <c r="D35" s="2" t="s">
        <v>233</v>
      </c>
      <c r="E35" s="2">
        <v>7723060061</v>
      </c>
      <c r="F35" s="2">
        <v>400059</v>
      </c>
      <c r="G35" s="2" t="s">
        <v>100</v>
      </c>
      <c r="H35" s="2" t="s">
        <v>234</v>
      </c>
      <c r="I35" s="2" t="s">
        <v>235</v>
      </c>
      <c r="J35" s="3">
        <v>45913.41644854167</v>
      </c>
    </row>
    <row r="36" spans="1:10" x14ac:dyDescent="0.35">
      <c r="A36" s="2">
        <v>35</v>
      </c>
      <c r="B36" s="2" t="s">
        <v>236</v>
      </c>
      <c r="C36" s="2">
        <v>10001670459</v>
      </c>
      <c r="D36" s="2" t="s">
        <v>237</v>
      </c>
      <c r="E36" s="2">
        <v>7699527392</v>
      </c>
      <c r="F36" s="2">
        <v>400033</v>
      </c>
      <c r="G36" s="2" t="s">
        <v>100</v>
      </c>
      <c r="H36" s="2" t="s">
        <v>238</v>
      </c>
      <c r="I36" s="2" t="s">
        <v>239</v>
      </c>
      <c r="J36" s="3">
        <v>45913.41644854167</v>
      </c>
    </row>
    <row r="37" spans="1:10" x14ac:dyDescent="0.35">
      <c r="A37" s="2">
        <v>36</v>
      </c>
      <c r="B37" s="2" t="s">
        <v>240</v>
      </c>
      <c r="C37" s="2">
        <v>10001675859</v>
      </c>
      <c r="D37" s="2" t="s">
        <v>241</v>
      </c>
      <c r="E37" s="2">
        <v>8657195292</v>
      </c>
      <c r="F37" s="2">
        <v>400061</v>
      </c>
      <c r="G37" s="2" t="s">
        <v>100</v>
      </c>
      <c r="H37" s="2" t="s">
        <v>242</v>
      </c>
      <c r="I37" s="2" t="s">
        <v>243</v>
      </c>
      <c r="J37" s="3">
        <v>45913.41644854167</v>
      </c>
    </row>
    <row r="38" spans="1:10" x14ac:dyDescent="0.35">
      <c r="A38" s="2">
        <v>37</v>
      </c>
      <c r="B38" s="2" t="s">
        <v>244</v>
      </c>
      <c r="C38" s="2">
        <v>10001675909</v>
      </c>
      <c r="D38" s="2" t="s">
        <v>245</v>
      </c>
      <c r="E38" s="2">
        <v>7721815329</v>
      </c>
      <c r="F38" s="2">
        <v>400102</v>
      </c>
      <c r="G38" s="2" t="s">
        <v>100</v>
      </c>
      <c r="H38" s="2" t="s">
        <v>206</v>
      </c>
      <c r="I38" s="2" t="s">
        <v>246</v>
      </c>
      <c r="J38" s="3">
        <v>45913.41644854167</v>
      </c>
    </row>
    <row r="39" spans="1:10" x14ac:dyDescent="0.35">
      <c r="A39" s="2">
        <v>38</v>
      </c>
      <c r="B39" s="2" t="s">
        <v>247</v>
      </c>
      <c r="C39" s="2">
        <v>10001687449</v>
      </c>
      <c r="D39" s="2" t="s">
        <v>248</v>
      </c>
      <c r="E39" s="2">
        <v>7712588358</v>
      </c>
      <c r="F39" s="2">
        <v>400063</v>
      </c>
      <c r="G39" s="2" t="s">
        <v>100</v>
      </c>
      <c r="H39" s="2" t="s">
        <v>249</v>
      </c>
      <c r="I39" s="2" t="s">
        <v>250</v>
      </c>
      <c r="J39" s="3">
        <v>45913.41644854167</v>
      </c>
    </row>
    <row r="40" spans="1:10" x14ac:dyDescent="0.35">
      <c r="A40" s="2">
        <v>39</v>
      </c>
      <c r="B40" s="4" t="s">
        <v>251</v>
      </c>
      <c r="C40" s="2">
        <v>10001692699</v>
      </c>
      <c r="D40" s="2" t="s">
        <v>252</v>
      </c>
      <c r="E40" s="2">
        <v>7720360889</v>
      </c>
      <c r="F40" s="2">
        <v>400003</v>
      </c>
      <c r="G40" s="2" t="s">
        <v>100</v>
      </c>
      <c r="H40" s="2" t="s">
        <v>253</v>
      </c>
      <c r="I40" s="2" t="s">
        <v>254</v>
      </c>
      <c r="J40" s="3">
        <v>45913.41644854167</v>
      </c>
    </row>
    <row r="41" spans="1:10" x14ac:dyDescent="0.35">
      <c r="A41" s="2">
        <v>40</v>
      </c>
      <c r="B41" s="2" t="s">
        <v>255</v>
      </c>
      <c r="C41" s="2">
        <v>10001694789</v>
      </c>
      <c r="D41" s="2" t="s">
        <v>256</v>
      </c>
      <c r="E41" s="2">
        <v>7705178316</v>
      </c>
      <c r="F41" s="2">
        <v>400017</v>
      </c>
      <c r="G41" s="2" t="s">
        <v>100</v>
      </c>
      <c r="H41" s="2" t="s">
        <v>149</v>
      </c>
      <c r="I41" s="2" t="s">
        <v>257</v>
      </c>
      <c r="J41" s="3">
        <v>45913.41644854167</v>
      </c>
    </row>
    <row r="42" spans="1:10" x14ac:dyDescent="0.35">
      <c r="A42" s="2">
        <v>41</v>
      </c>
      <c r="B42" s="2" t="s">
        <v>258</v>
      </c>
      <c r="C42" s="2">
        <v>10001694849</v>
      </c>
      <c r="D42" s="2" t="s">
        <v>259</v>
      </c>
      <c r="E42" s="2">
        <v>8600402498</v>
      </c>
      <c r="F42" s="2">
        <v>400025</v>
      </c>
      <c r="G42" s="2" t="s">
        <v>100</v>
      </c>
      <c r="H42" s="2" t="s">
        <v>260</v>
      </c>
      <c r="I42" s="2" t="s">
        <v>261</v>
      </c>
      <c r="J42" s="3">
        <v>45913.41644854167</v>
      </c>
    </row>
    <row r="43" spans="1:10" x14ac:dyDescent="0.35">
      <c r="A43" s="2">
        <v>42</v>
      </c>
      <c r="B43" s="2" t="s">
        <v>262</v>
      </c>
      <c r="C43" s="2">
        <v>10001699819</v>
      </c>
      <c r="D43" s="2" t="s">
        <v>263</v>
      </c>
      <c r="E43" s="2">
        <v>7699607537</v>
      </c>
      <c r="F43" s="2">
        <v>400003</v>
      </c>
      <c r="G43" s="2" t="s">
        <v>100</v>
      </c>
      <c r="H43" s="2" t="s">
        <v>264</v>
      </c>
      <c r="I43" s="2" t="s">
        <v>265</v>
      </c>
      <c r="J43" s="3">
        <v>45913.41644854167</v>
      </c>
    </row>
    <row r="44" spans="1:10" x14ac:dyDescent="0.35">
      <c r="A44" s="2">
        <v>43</v>
      </c>
      <c r="B44" s="2" t="s">
        <v>266</v>
      </c>
      <c r="C44" s="2">
        <v>10001708109</v>
      </c>
      <c r="D44" s="2" t="s">
        <v>267</v>
      </c>
      <c r="E44" s="2">
        <v>7744099163</v>
      </c>
      <c r="F44" s="2">
        <v>400012</v>
      </c>
      <c r="G44" s="2" t="s">
        <v>100</v>
      </c>
      <c r="H44" s="2" t="s">
        <v>268</v>
      </c>
      <c r="I44" s="2" t="s">
        <v>269</v>
      </c>
      <c r="J44" s="3">
        <v>45913.41644854167</v>
      </c>
    </row>
    <row r="45" spans="1:10" x14ac:dyDescent="0.35">
      <c r="A45" s="2">
        <v>44</v>
      </c>
      <c r="B45" s="2" t="s">
        <v>270</v>
      </c>
      <c r="C45" s="2">
        <v>10001725099</v>
      </c>
      <c r="D45" s="2" t="s">
        <v>271</v>
      </c>
      <c r="E45" s="2">
        <v>7832772297</v>
      </c>
      <c r="F45" s="2">
        <v>400068</v>
      </c>
      <c r="G45" s="2" t="s">
        <v>100</v>
      </c>
      <c r="H45" s="2" t="s">
        <v>272</v>
      </c>
      <c r="I45" s="2" t="s">
        <v>273</v>
      </c>
      <c r="J45" s="3">
        <v>45913.41644854167</v>
      </c>
    </row>
    <row r="46" spans="1:10" x14ac:dyDescent="0.35">
      <c r="A46" s="2">
        <v>45</v>
      </c>
      <c r="B46" s="2" t="s">
        <v>274</v>
      </c>
      <c r="C46" s="2">
        <v>10001725259</v>
      </c>
      <c r="D46" s="2" t="s">
        <v>275</v>
      </c>
      <c r="E46" s="2">
        <v>7707895925</v>
      </c>
      <c r="F46" s="2">
        <v>400010</v>
      </c>
      <c r="G46" s="2" t="s">
        <v>100</v>
      </c>
      <c r="H46" s="2" t="s">
        <v>276</v>
      </c>
      <c r="I46" s="2" t="s">
        <v>277</v>
      </c>
      <c r="J46" s="3">
        <v>45913.41644854167</v>
      </c>
    </row>
    <row r="47" spans="1:10" x14ac:dyDescent="0.35">
      <c r="A47" s="2">
        <v>46</v>
      </c>
      <c r="B47" s="2" t="s">
        <v>278</v>
      </c>
      <c r="C47" s="2">
        <v>10001728119</v>
      </c>
      <c r="D47" s="2" t="s">
        <v>279</v>
      </c>
      <c r="E47" s="2">
        <v>8176965647</v>
      </c>
      <c r="F47" s="2">
        <v>400052</v>
      </c>
      <c r="G47" s="2" t="s">
        <v>100</v>
      </c>
      <c r="H47" s="2" t="s">
        <v>280</v>
      </c>
      <c r="I47" s="2" t="s">
        <v>281</v>
      </c>
      <c r="J47" s="3">
        <v>45913.41644854167</v>
      </c>
    </row>
    <row r="48" spans="1:10" x14ac:dyDescent="0.35">
      <c r="A48" s="2">
        <v>47</v>
      </c>
      <c r="B48" s="2" t="s">
        <v>282</v>
      </c>
      <c r="C48" s="2">
        <v>10001734919</v>
      </c>
      <c r="D48" s="2" t="s">
        <v>283</v>
      </c>
      <c r="E48" s="2">
        <v>8606861096</v>
      </c>
      <c r="F48" s="2">
        <v>400092</v>
      </c>
      <c r="G48" s="2" t="s">
        <v>100</v>
      </c>
      <c r="H48" s="2" t="s">
        <v>191</v>
      </c>
      <c r="I48" s="2" t="s">
        <v>284</v>
      </c>
      <c r="J48" s="3">
        <v>45913.41644854167</v>
      </c>
    </row>
    <row r="49" spans="1:10" x14ac:dyDescent="0.35">
      <c r="A49" s="2">
        <v>48</v>
      </c>
      <c r="B49" s="2" t="s">
        <v>285</v>
      </c>
      <c r="C49" s="2">
        <v>10001735729</v>
      </c>
      <c r="D49" s="2" t="s">
        <v>286</v>
      </c>
      <c r="E49" s="2">
        <v>8167861400</v>
      </c>
      <c r="F49" s="2">
        <v>400018</v>
      </c>
      <c r="G49" s="2" t="s">
        <v>100</v>
      </c>
      <c r="H49" s="2" t="s">
        <v>287</v>
      </c>
      <c r="I49" s="2" t="s">
        <v>288</v>
      </c>
      <c r="J49" s="3">
        <v>45913.41644854167</v>
      </c>
    </row>
    <row r="50" spans="1:10" x14ac:dyDescent="0.35">
      <c r="A50" s="2">
        <v>49</v>
      </c>
      <c r="B50" s="2" t="s">
        <v>289</v>
      </c>
      <c r="C50" s="2">
        <v>10001740909</v>
      </c>
      <c r="D50" s="2" t="s">
        <v>290</v>
      </c>
      <c r="E50" s="2">
        <v>7717441721</v>
      </c>
      <c r="F50" s="2">
        <v>400049</v>
      </c>
      <c r="G50" s="2" t="s">
        <v>100</v>
      </c>
      <c r="H50" s="2" t="s">
        <v>291</v>
      </c>
      <c r="I50" s="2" t="s">
        <v>292</v>
      </c>
      <c r="J50" s="3">
        <v>45913.41644854167</v>
      </c>
    </row>
    <row r="51" spans="1:10" x14ac:dyDescent="0.35">
      <c r="A51" s="2">
        <v>50</v>
      </c>
      <c r="B51" s="2" t="s">
        <v>293</v>
      </c>
      <c r="C51" s="2">
        <v>10001743189</v>
      </c>
      <c r="D51" s="2" t="s">
        <v>294</v>
      </c>
      <c r="E51" s="2">
        <v>7724042105</v>
      </c>
      <c r="F51" s="2">
        <v>400010</v>
      </c>
      <c r="G51" s="2" t="s">
        <v>100</v>
      </c>
      <c r="H51" s="2" t="s">
        <v>295</v>
      </c>
      <c r="I51" s="2" t="s">
        <v>296</v>
      </c>
      <c r="J51" s="3">
        <v>45913.41644854167</v>
      </c>
    </row>
    <row r="52" spans="1:10" x14ac:dyDescent="0.35">
      <c r="A52" s="2">
        <v>51</v>
      </c>
      <c r="B52" s="2" t="s">
        <v>297</v>
      </c>
      <c r="C52" s="2">
        <v>10001758839</v>
      </c>
      <c r="D52" s="2" t="s">
        <v>298</v>
      </c>
      <c r="E52" s="2">
        <v>7700208561</v>
      </c>
      <c r="F52" s="2">
        <v>400010</v>
      </c>
      <c r="G52" s="2" t="s">
        <v>100</v>
      </c>
      <c r="H52" s="2" t="s">
        <v>299</v>
      </c>
      <c r="I52" s="2" t="s">
        <v>300</v>
      </c>
      <c r="J52" s="3">
        <v>45913.41644854167</v>
      </c>
    </row>
    <row r="53" spans="1:10" x14ac:dyDescent="0.35">
      <c r="A53" s="2">
        <v>52</v>
      </c>
      <c r="B53" s="2" t="s">
        <v>301</v>
      </c>
      <c r="C53" s="2">
        <v>10001765859</v>
      </c>
      <c r="D53" s="2" t="s">
        <v>302</v>
      </c>
      <c r="E53" s="2">
        <v>7734940785</v>
      </c>
      <c r="F53" s="2">
        <v>400033</v>
      </c>
      <c r="G53" s="2" t="s">
        <v>100</v>
      </c>
      <c r="H53" s="2" t="s">
        <v>187</v>
      </c>
      <c r="I53" s="2" t="s">
        <v>303</v>
      </c>
      <c r="J53" s="3">
        <v>45913.41644854167</v>
      </c>
    </row>
    <row r="54" spans="1:10" x14ac:dyDescent="0.35">
      <c r="A54" s="2">
        <v>53</v>
      </c>
      <c r="B54" s="2" t="s">
        <v>304</v>
      </c>
      <c r="C54" s="2">
        <v>10001767499</v>
      </c>
      <c r="D54" s="2" t="s">
        <v>305</v>
      </c>
      <c r="E54" s="2">
        <v>7704244656</v>
      </c>
      <c r="F54" s="2">
        <v>400059</v>
      </c>
      <c r="G54" s="2" t="s">
        <v>100</v>
      </c>
      <c r="H54" s="2" t="s">
        <v>234</v>
      </c>
      <c r="I54" s="2" t="s">
        <v>306</v>
      </c>
      <c r="J54" s="3">
        <v>45913.41644854167</v>
      </c>
    </row>
    <row r="55" spans="1:10" x14ac:dyDescent="0.35">
      <c r="A55" s="2">
        <v>54</v>
      </c>
      <c r="B55" s="2" t="s">
        <v>307</v>
      </c>
      <c r="C55" s="2">
        <v>10001770479</v>
      </c>
      <c r="D55" s="2" t="s">
        <v>308</v>
      </c>
      <c r="E55" s="2">
        <v>7724877588</v>
      </c>
      <c r="F55" s="2">
        <v>400097</v>
      </c>
      <c r="G55" s="2" t="s">
        <v>100</v>
      </c>
      <c r="H55" s="2" t="s">
        <v>133</v>
      </c>
      <c r="I55" s="2" t="s">
        <v>309</v>
      </c>
      <c r="J55" s="3">
        <v>45913.41644854167</v>
      </c>
    </row>
    <row r="56" spans="1:10" x14ac:dyDescent="0.35">
      <c r="A56" s="2">
        <v>55</v>
      </c>
      <c r="B56" s="2" t="s">
        <v>310</v>
      </c>
      <c r="C56" s="2">
        <v>10001771789</v>
      </c>
      <c r="D56" s="2" t="s">
        <v>311</v>
      </c>
      <c r="E56" s="2">
        <v>7709092740</v>
      </c>
      <c r="F56" s="2">
        <v>400091</v>
      </c>
      <c r="G56" s="2" t="s">
        <v>100</v>
      </c>
      <c r="H56" s="2" t="s">
        <v>312</v>
      </c>
      <c r="I56" s="2" t="s">
        <v>313</v>
      </c>
      <c r="J56" s="3">
        <v>45913.41644854167</v>
      </c>
    </row>
    <row r="57" spans="1:10" x14ac:dyDescent="0.35">
      <c r="A57" s="2">
        <v>56</v>
      </c>
      <c r="B57" s="2" t="s">
        <v>314</v>
      </c>
      <c r="C57" s="2">
        <v>10001775619</v>
      </c>
      <c r="D57" s="2" t="s">
        <v>315</v>
      </c>
      <c r="E57" s="2">
        <v>8167402724</v>
      </c>
      <c r="F57" s="2">
        <v>400007</v>
      </c>
      <c r="G57" s="2" t="s">
        <v>100</v>
      </c>
      <c r="H57" s="2" t="s">
        <v>316</v>
      </c>
      <c r="I57" s="2" t="s">
        <v>317</v>
      </c>
      <c r="J57" s="3">
        <v>45913.41644854167</v>
      </c>
    </row>
    <row r="58" spans="1:10" x14ac:dyDescent="0.35">
      <c r="A58" s="2">
        <v>57</v>
      </c>
      <c r="B58" s="2" t="s">
        <v>318</v>
      </c>
      <c r="C58" s="2">
        <v>10001796879</v>
      </c>
      <c r="D58" s="2" t="s">
        <v>319</v>
      </c>
      <c r="E58" s="2">
        <v>7796060775</v>
      </c>
      <c r="F58" s="2">
        <v>400005</v>
      </c>
      <c r="G58" s="2" t="s">
        <v>100</v>
      </c>
      <c r="H58" s="2" t="s">
        <v>198</v>
      </c>
      <c r="I58" s="2" t="s">
        <v>320</v>
      </c>
      <c r="J58" s="3">
        <v>45913.41644854167</v>
      </c>
    </row>
    <row r="59" spans="1:10" x14ac:dyDescent="0.35">
      <c r="A59" s="2">
        <v>58</v>
      </c>
      <c r="B59" s="2" t="s">
        <v>321</v>
      </c>
      <c r="C59" s="2">
        <v>10001808329</v>
      </c>
      <c r="D59" s="2" t="s">
        <v>322</v>
      </c>
      <c r="E59" s="2">
        <v>7745048978</v>
      </c>
      <c r="F59" s="2">
        <v>400102</v>
      </c>
      <c r="G59" s="2" t="s">
        <v>100</v>
      </c>
      <c r="H59" s="2" t="s">
        <v>141</v>
      </c>
      <c r="I59" s="2" t="s">
        <v>323</v>
      </c>
      <c r="J59" s="3">
        <v>45913.41644854167</v>
      </c>
    </row>
    <row r="60" spans="1:10" x14ac:dyDescent="0.35">
      <c r="A60" s="2">
        <v>59</v>
      </c>
      <c r="B60" s="2" t="s">
        <v>324</v>
      </c>
      <c r="C60" s="2">
        <v>10001818969</v>
      </c>
      <c r="D60" s="2" t="s">
        <v>325</v>
      </c>
      <c r="E60" s="2">
        <v>7718679266</v>
      </c>
      <c r="F60" s="2">
        <v>400020</v>
      </c>
      <c r="G60" s="2" t="s">
        <v>100</v>
      </c>
      <c r="H60" s="2" t="s">
        <v>326</v>
      </c>
      <c r="I60" s="2" t="s">
        <v>327</v>
      </c>
      <c r="J60" s="3">
        <v>45913.41644854167</v>
      </c>
    </row>
    <row r="61" spans="1:10" x14ac:dyDescent="0.35">
      <c r="A61" s="2">
        <v>60</v>
      </c>
      <c r="B61" s="2" t="s">
        <v>328</v>
      </c>
      <c r="C61" s="2">
        <v>10001833949</v>
      </c>
      <c r="D61" s="2" t="s">
        <v>329</v>
      </c>
      <c r="E61" s="2">
        <v>7718424935</v>
      </c>
      <c r="F61" s="2">
        <v>400012</v>
      </c>
      <c r="G61" s="2" t="s">
        <v>100</v>
      </c>
      <c r="H61" s="2" t="s">
        <v>330</v>
      </c>
      <c r="I61" s="2" t="s">
        <v>331</v>
      </c>
      <c r="J61" s="3">
        <v>45913.41644854167</v>
      </c>
    </row>
    <row r="62" spans="1:10" x14ac:dyDescent="0.35">
      <c r="A62" s="2">
        <v>61</v>
      </c>
      <c r="B62" s="2" t="s">
        <v>332</v>
      </c>
      <c r="C62" s="2">
        <v>10001835909</v>
      </c>
      <c r="D62" s="2" t="s">
        <v>333</v>
      </c>
      <c r="E62" s="2">
        <v>7701520145</v>
      </c>
      <c r="F62" s="2">
        <v>400065</v>
      </c>
      <c r="G62" s="2" t="s">
        <v>100</v>
      </c>
      <c r="H62" s="2" t="s">
        <v>334</v>
      </c>
      <c r="I62" s="2" t="s">
        <v>335</v>
      </c>
      <c r="J62" s="3">
        <v>45913.41644854167</v>
      </c>
    </row>
    <row r="63" spans="1:10" x14ac:dyDescent="0.35">
      <c r="A63" s="2">
        <v>62</v>
      </c>
      <c r="B63" s="2" t="s">
        <v>336</v>
      </c>
      <c r="C63" s="2">
        <v>10001838669</v>
      </c>
      <c r="D63" s="2" t="s">
        <v>337</v>
      </c>
      <c r="E63" s="2">
        <v>7700099855</v>
      </c>
      <c r="F63" s="2">
        <v>400003</v>
      </c>
      <c r="G63" s="2" t="s">
        <v>100</v>
      </c>
      <c r="H63" s="2" t="s">
        <v>338</v>
      </c>
      <c r="I63" s="2" t="s">
        <v>339</v>
      </c>
      <c r="J63" s="3">
        <v>45913.41644854167</v>
      </c>
    </row>
    <row r="64" spans="1:10" x14ac:dyDescent="0.35">
      <c r="A64" s="2">
        <v>63</v>
      </c>
      <c r="B64" s="2" t="s">
        <v>340</v>
      </c>
      <c r="C64" s="2">
        <v>10001839389</v>
      </c>
      <c r="D64" s="2" t="s">
        <v>341</v>
      </c>
      <c r="E64" s="2">
        <v>8185858740</v>
      </c>
      <c r="F64" s="2">
        <v>400034</v>
      </c>
      <c r="G64" s="2" t="s">
        <v>100</v>
      </c>
      <c r="H64" s="2" t="s">
        <v>342</v>
      </c>
      <c r="I64" s="2" t="s">
        <v>343</v>
      </c>
      <c r="J64" s="3">
        <v>45913.41644854167</v>
      </c>
    </row>
    <row r="65" spans="1:10" x14ac:dyDescent="0.35">
      <c r="A65" s="2">
        <v>64</v>
      </c>
      <c r="B65" s="2" t="s">
        <v>344</v>
      </c>
      <c r="C65" s="2">
        <v>10001844469</v>
      </c>
      <c r="D65" s="2" t="s">
        <v>345</v>
      </c>
      <c r="E65" s="2">
        <v>7746254847</v>
      </c>
      <c r="F65" s="2">
        <v>400054</v>
      </c>
      <c r="G65" s="2" t="s">
        <v>100</v>
      </c>
      <c r="H65" s="2" t="s">
        <v>346</v>
      </c>
      <c r="I65" s="2" t="s">
        <v>347</v>
      </c>
      <c r="J65" s="3">
        <v>45913.41644854167</v>
      </c>
    </row>
    <row r="66" spans="1:10" x14ac:dyDescent="0.35">
      <c r="A66" s="2">
        <v>65</v>
      </c>
      <c r="B66" s="2" t="s">
        <v>348</v>
      </c>
      <c r="C66" s="2">
        <v>10001844619</v>
      </c>
      <c r="D66" s="2" t="s">
        <v>349</v>
      </c>
      <c r="E66" s="2">
        <v>7723679013</v>
      </c>
      <c r="F66" s="2">
        <v>400090</v>
      </c>
      <c r="G66" s="2" t="s">
        <v>100</v>
      </c>
      <c r="H66" s="2" t="s">
        <v>350</v>
      </c>
      <c r="I66" s="2" t="s">
        <v>351</v>
      </c>
      <c r="J66" s="3">
        <v>45913.41644854167</v>
      </c>
    </row>
    <row r="67" spans="1:10" x14ac:dyDescent="0.35">
      <c r="A67" s="2">
        <v>66</v>
      </c>
      <c r="B67" s="2" t="s">
        <v>352</v>
      </c>
      <c r="C67" s="2">
        <v>10001847249</v>
      </c>
      <c r="D67" s="2" t="s">
        <v>353</v>
      </c>
      <c r="E67" s="2">
        <v>8176827083</v>
      </c>
      <c r="F67" s="2">
        <v>400028</v>
      </c>
      <c r="G67" s="2" t="s">
        <v>100</v>
      </c>
      <c r="H67" s="2" t="s">
        <v>354</v>
      </c>
      <c r="I67" s="2" t="s">
        <v>355</v>
      </c>
      <c r="J67" s="3">
        <v>45913.41644854167</v>
      </c>
    </row>
    <row r="68" spans="1:10" x14ac:dyDescent="0.35">
      <c r="A68" s="2">
        <v>67</v>
      </c>
      <c r="B68" s="2" t="s">
        <v>356</v>
      </c>
      <c r="C68" s="2">
        <v>10001856209</v>
      </c>
      <c r="D68" s="2" t="s">
        <v>357</v>
      </c>
      <c r="E68" s="2">
        <v>7768290911</v>
      </c>
      <c r="F68" s="2">
        <v>400025</v>
      </c>
      <c r="G68" s="2" t="s">
        <v>100</v>
      </c>
      <c r="H68" s="2" t="s">
        <v>358</v>
      </c>
      <c r="I68" s="2" t="s">
        <v>359</v>
      </c>
      <c r="J68" s="3">
        <v>45913.41644854167</v>
      </c>
    </row>
    <row r="69" spans="1:10" x14ac:dyDescent="0.35">
      <c r="A69" s="2">
        <v>68</v>
      </c>
      <c r="B69" s="2" t="s">
        <v>360</v>
      </c>
      <c r="C69" s="2">
        <v>10001858349</v>
      </c>
      <c r="D69" s="2" t="s">
        <v>361</v>
      </c>
      <c r="E69" s="2">
        <v>7859208128</v>
      </c>
      <c r="F69" s="2">
        <v>400051</v>
      </c>
      <c r="G69" s="2" t="s">
        <v>100</v>
      </c>
      <c r="H69" s="2" t="s">
        <v>145</v>
      </c>
      <c r="I69" s="2" t="s">
        <v>362</v>
      </c>
      <c r="J69" s="3">
        <v>45913.41644854167</v>
      </c>
    </row>
    <row r="70" spans="1:10" x14ac:dyDescent="0.35">
      <c r="A70" s="2">
        <v>69</v>
      </c>
      <c r="B70" s="2" t="s">
        <v>363</v>
      </c>
      <c r="C70" s="2">
        <v>10001865259</v>
      </c>
      <c r="D70" s="2" t="s">
        <v>364</v>
      </c>
      <c r="E70" s="2">
        <v>7821617027</v>
      </c>
      <c r="F70" s="2">
        <v>400030</v>
      </c>
      <c r="G70" s="2" t="s">
        <v>100</v>
      </c>
      <c r="H70" s="2" t="s">
        <v>365</v>
      </c>
      <c r="I70" s="2" t="s">
        <v>366</v>
      </c>
      <c r="J70" s="3">
        <v>45913.41644854167</v>
      </c>
    </row>
    <row r="71" spans="1:10" x14ac:dyDescent="0.35">
      <c r="A71" s="2">
        <v>70</v>
      </c>
      <c r="B71" s="2" t="s">
        <v>367</v>
      </c>
      <c r="C71" s="2">
        <v>10001887469</v>
      </c>
      <c r="D71" s="2" t="s">
        <v>368</v>
      </c>
      <c r="E71" s="2">
        <v>7718453820</v>
      </c>
      <c r="F71" s="2">
        <v>400091</v>
      </c>
      <c r="G71" s="2" t="s">
        <v>100</v>
      </c>
      <c r="H71" s="2" t="s">
        <v>312</v>
      </c>
      <c r="I71" s="2" t="s">
        <v>369</v>
      </c>
      <c r="J71" s="3">
        <v>45913.41644854167</v>
      </c>
    </row>
    <row r="72" spans="1:10" x14ac:dyDescent="0.35">
      <c r="A72" s="2">
        <v>71</v>
      </c>
      <c r="B72" s="2" t="s">
        <v>370</v>
      </c>
      <c r="C72" s="2">
        <v>10001899879</v>
      </c>
      <c r="D72" s="2" t="s">
        <v>371</v>
      </c>
      <c r="E72" s="2">
        <v>7725507233</v>
      </c>
      <c r="F72" s="2">
        <v>400099</v>
      </c>
      <c r="G72" s="2" t="s">
        <v>100</v>
      </c>
      <c r="H72" s="2" t="s">
        <v>372</v>
      </c>
      <c r="I72" s="2" t="s">
        <v>373</v>
      </c>
      <c r="J72" s="3">
        <v>45913.41644854167</v>
      </c>
    </row>
    <row r="73" spans="1:10" x14ac:dyDescent="0.35">
      <c r="A73" s="2">
        <v>72</v>
      </c>
      <c r="B73" s="2" t="s">
        <v>374</v>
      </c>
      <c r="C73" s="2">
        <v>10001913979</v>
      </c>
      <c r="D73" s="2" t="s">
        <v>375</v>
      </c>
      <c r="E73" s="2">
        <v>7717461026</v>
      </c>
      <c r="F73" s="2">
        <v>400027</v>
      </c>
      <c r="G73" s="2" t="s">
        <v>100</v>
      </c>
      <c r="H73" s="2" t="s">
        <v>113</v>
      </c>
      <c r="I73" s="2" t="s">
        <v>376</v>
      </c>
      <c r="J73" s="3">
        <v>45913.41644854167</v>
      </c>
    </row>
    <row r="74" spans="1:10" x14ac:dyDescent="0.35">
      <c r="A74" s="2">
        <v>73</v>
      </c>
      <c r="B74" s="2" t="s">
        <v>377</v>
      </c>
      <c r="C74" s="2">
        <v>10001919319</v>
      </c>
      <c r="D74" s="2" t="s">
        <v>378</v>
      </c>
      <c r="E74" s="2">
        <v>7796459624</v>
      </c>
      <c r="F74" s="2">
        <v>400003</v>
      </c>
      <c r="G74" s="2" t="s">
        <v>100</v>
      </c>
      <c r="H74" s="2" t="s">
        <v>379</v>
      </c>
      <c r="I74" s="2" t="s">
        <v>380</v>
      </c>
      <c r="J74" s="3">
        <v>45913.41644854167</v>
      </c>
    </row>
    <row r="75" spans="1:10" x14ac:dyDescent="0.35">
      <c r="A75" s="2">
        <v>74</v>
      </c>
      <c r="B75" s="2" t="s">
        <v>381</v>
      </c>
      <c r="C75" s="2">
        <v>10001928399</v>
      </c>
      <c r="D75" s="2" t="s">
        <v>382</v>
      </c>
      <c r="E75" s="2">
        <v>8876475396</v>
      </c>
      <c r="F75" s="2">
        <v>400013</v>
      </c>
      <c r="G75" s="2" t="s">
        <v>100</v>
      </c>
      <c r="H75" s="2" t="s">
        <v>383</v>
      </c>
      <c r="I75" s="2" t="s">
        <v>384</v>
      </c>
      <c r="J75" s="3">
        <v>45913.41644854167</v>
      </c>
    </row>
    <row r="76" spans="1:10" x14ac:dyDescent="0.35">
      <c r="A76" s="2">
        <v>75</v>
      </c>
      <c r="B76" s="2" t="s">
        <v>385</v>
      </c>
      <c r="C76" s="2">
        <v>10001945389</v>
      </c>
      <c r="D76" s="2" t="s">
        <v>386</v>
      </c>
      <c r="E76" s="2">
        <v>7720306749</v>
      </c>
      <c r="F76" s="2">
        <v>400010</v>
      </c>
      <c r="G76" s="2" t="s">
        <v>100</v>
      </c>
      <c r="H76" s="2" t="s">
        <v>276</v>
      </c>
      <c r="I76" s="2" t="s">
        <v>387</v>
      </c>
      <c r="J76" s="3">
        <v>45913.41644854167</v>
      </c>
    </row>
    <row r="77" spans="1:10" x14ac:dyDescent="0.35">
      <c r="A77" s="2">
        <v>76</v>
      </c>
      <c r="B77" s="2" t="s">
        <v>388</v>
      </c>
      <c r="C77" s="2">
        <v>10001948709</v>
      </c>
      <c r="D77" s="2" t="s">
        <v>389</v>
      </c>
      <c r="E77" s="2">
        <v>7718255046</v>
      </c>
      <c r="F77" s="2">
        <v>400014</v>
      </c>
      <c r="G77" s="2" t="s">
        <v>100</v>
      </c>
      <c r="H77" s="2" t="s">
        <v>129</v>
      </c>
      <c r="I77" s="2" t="s">
        <v>390</v>
      </c>
      <c r="J77" s="3">
        <v>45913.41644854167</v>
      </c>
    </row>
    <row r="78" spans="1:10" x14ac:dyDescent="0.35">
      <c r="A78" s="2">
        <v>77</v>
      </c>
      <c r="B78" s="2" t="s">
        <v>391</v>
      </c>
      <c r="C78" s="2">
        <v>10001967899</v>
      </c>
      <c r="D78" s="2" t="s">
        <v>392</v>
      </c>
      <c r="E78" s="2">
        <v>7705395603</v>
      </c>
      <c r="F78" s="2">
        <v>400003</v>
      </c>
      <c r="G78" s="2" t="s">
        <v>100</v>
      </c>
      <c r="H78" s="2" t="s">
        <v>338</v>
      </c>
      <c r="I78" s="2" t="s">
        <v>393</v>
      </c>
      <c r="J78" s="3">
        <v>45913.41644854167</v>
      </c>
    </row>
    <row r="79" spans="1:10" x14ac:dyDescent="0.35">
      <c r="A79" s="2">
        <v>78</v>
      </c>
      <c r="B79" s="2" t="s">
        <v>394</v>
      </c>
      <c r="C79" s="2">
        <v>10001981409</v>
      </c>
      <c r="D79" s="2" t="s">
        <v>395</v>
      </c>
      <c r="E79" s="2">
        <v>7700554058</v>
      </c>
      <c r="F79" s="2">
        <v>400098</v>
      </c>
      <c r="G79" s="2" t="s">
        <v>100</v>
      </c>
      <c r="H79" s="2" t="s">
        <v>396</v>
      </c>
      <c r="I79" s="2" t="s">
        <v>397</v>
      </c>
      <c r="J79" s="3">
        <v>45913.41644854167</v>
      </c>
    </row>
    <row r="80" spans="1:10" x14ac:dyDescent="0.35">
      <c r="A80" s="2">
        <v>79</v>
      </c>
      <c r="B80" s="4" t="s">
        <v>398</v>
      </c>
      <c r="C80" s="2">
        <v>10001990289</v>
      </c>
      <c r="D80" s="2" t="s">
        <v>399</v>
      </c>
      <c r="E80" s="2">
        <v>8600963063</v>
      </c>
      <c r="F80" s="2">
        <v>400020</v>
      </c>
      <c r="G80" s="2" t="s">
        <v>100</v>
      </c>
      <c r="H80" s="2" t="s">
        <v>400</v>
      </c>
      <c r="I80" s="2" t="s">
        <v>401</v>
      </c>
      <c r="J80" s="3">
        <v>45913.41644854167</v>
      </c>
    </row>
    <row r="81" spans="1:10" x14ac:dyDescent="0.35">
      <c r="A81" s="2">
        <v>80</v>
      </c>
      <c r="B81" s="2" t="s">
        <v>402</v>
      </c>
      <c r="C81" s="2">
        <v>10002006619</v>
      </c>
      <c r="D81" s="2" t="s">
        <v>403</v>
      </c>
      <c r="E81" s="2">
        <v>7706790270</v>
      </c>
      <c r="F81" s="2">
        <v>400031</v>
      </c>
      <c r="G81" s="2" t="s">
        <v>100</v>
      </c>
      <c r="H81" s="2" t="s">
        <v>404</v>
      </c>
      <c r="I81" s="2" t="s">
        <v>405</v>
      </c>
      <c r="J81" s="3">
        <v>45913.41644854167</v>
      </c>
    </row>
    <row r="82" spans="1:10" x14ac:dyDescent="0.35">
      <c r="A82" s="2">
        <v>81</v>
      </c>
      <c r="B82" s="2" t="s">
        <v>406</v>
      </c>
      <c r="C82" s="2">
        <v>10002018359</v>
      </c>
      <c r="D82" s="2" t="s">
        <v>407</v>
      </c>
      <c r="E82" s="2">
        <v>7701798416</v>
      </c>
      <c r="F82" s="2">
        <v>400004</v>
      </c>
      <c r="G82" s="2" t="s">
        <v>100</v>
      </c>
      <c r="H82" s="2" t="s">
        <v>408</v>
      </c>
      <c r="I82" s="2" t="s">
        <v>409</v>
      </c>
      <c r="J82" s="3">
        <v>45913.41644854167</v>
      </c>
    </row>
    <row r="83" spans="1:10" x14ac:dyDescent="0.35">
      <c r="A83" s="2">
        <v>82</v>
      </c>
      <c r="B83" s="2" t="s">
        <v>410</v>
      </c>
      <c r="C83" s="2">
        <v>10002020759</v>
      </c>
      <c r="D83" s="2" t="s">
        <v>411</v>
      </c>
      <c r="E83" s="2">
        <v>7728797259</v>
      </c>
      <c r="F83" s="2">
        <v>400028</v>
      </c>
      <c r="G83" s="2" t="s">
        <v>100</v>
      </c>
      <c r="H83" s="2" t="s">
        <v>354</v>
      </c>
      <c r="I83" s="2" t="s">
        <v>412</v>
      </c>
      <c r="J83" s="3">
        <v>45913.41644854167</v>
      </c>
    </row>
    <row r="84" spans="1:10" x14ac:dyDescent="0.35">
      <c r="A84" s="2">
        <v>83</v>
      </c>
      <c r="B84" s="2" t="s">
        <v>413</v>
      </c>
      <c r="C84" s="2">
        <v>10002028639</v>
      </c>
      <c r="D84" s="2" t="s">
        <v>414</v>
      </c>
      <c r="E84" s="2">
        <v>7706670678</v>
      </c>
      <c r="F84" s="2">
        <v>400008</v>
      </c>
      <c r="G84" s="2" t="s">
        <v>100</v>
      </c>
      <c r="H84" s="2" t="s">
        <v>415</v>
      </c>
      <c r="I84" s="2" t="s">
        <v>416</v>
      </c>
      <c r="J84" s="3">
        <v>45913.41644854167</v>
      </c>
    </row>
    <row r="85" spans="1:10" x14ac:dyDescent="0.35">
      <c r="A85" s="2">
        <v>84</v>
      </c>
      <c r="B85" s="2" t="s">
        <v>417</v>
      </c>
      <c r="C85" s="2">
        <v>10002039059</v>
      </c>
      <c r="D85" s="2" t="s">
        <v>418</v>
      </c>
      <c r="E85" s="2">
        <v>7716775770</v>
      </c>
      <c r="F85" s="2">
        <v>400096</v>
      </c>
      <c r="G85" s="2" t="s">
        <v>100</v>
      </c>
      <c r="H85" s="2" t="s">
        <v>419</v>
      </c>
      <c r="I85" s="2" t="s">
        <v>420</v>
      </c>
      <c r="J85" s="3">
        <v>45913.41644854167</v>
      </c>
    </row>
    <row r="86" spans="1:10" x14ac:dyDescent="0.35">
      <c r="A86" s="2">
        <v>85</v>
      </c>
      <c r="B86" s="2" t="s">
        <v>421</v>
      </c>
      <c r="C86" s="2">
        <v>10002056259</v>
      </c>
      <c r="D86" s="2" t="s">
        <v>422</v>
      </c>
      <c r="E86" s="2">
        <v>7745064057</v>
      </c>
      <c r="F86" s="2">
        <v>400064</v>
      </c>
      <c r="G86" s="2" t="s">
        <v>100</v>
      </c>
      <c r="H86" s="2" t="s">
        <v>423</v>
      </c>
      <c r="I86" s="2" t="s">
        <v>424</v>
      </c>
      <c r="J86" s="3">
        <v>45913.41644854167</v>
      </c>
    </row>
    <row r="87" spans="1:10" x14ac:dyDescent="0.35">
      <c r="A87" s="2">
        <v>86</v>
      </c>
      <c r="B87" s="2" t="s">
        <v>425</v>
      </c>
      <c r="C87" s="2">
        <v>10002062099</v>
      </c>
      <c r="D87" s="2" t="s">
        <v>426</v>
      </c>
      <c r="E87" s="2">
        <v>7791893883</v>
      </c>
      <c r="F87" s="2">
        <v>400056</v>
      </c>
      <c r="G87" s="2" t="s">
        <v>100</v>
      </c>
      <c r="H87" s="2" t="s">
        <v>427</v>
      </c>
      <c r="I87" s="2" t="s">
        <v>428</v>
      </c>
      <c r="J87" s="3">
        <v>45913.41644854167</v>
      </c>
    </row>
    <row r="88" spans="1:10" x14ac:dyDescent="0.35">
      <c r="A88" s="2">
        <v>87</v>
      </c>
      <c r="B88" s="2" t="s">
        <v>429</v>
      </c>
      <c r="C88" s="2">
        <v>10002106149</v>
      </c>
      <c r="D88" s="2" t="s">
        <v>430</v>
      </c>
      <c r="E88" s="2">
        <v>7734368840</v>
      </c>
      <c r="F88" s="2">
        <v>400096</v>
      </c>
      <c r="G88" s="2" t="s">
        <v>100</v>
      </c>
      <c r="H88" s="2" t="s">
        <v>419</v>
      </c>
      <c r="I88" s="2" t="s">
        <v>431</v>
      </c>
      <c r="J88" s="3">
        <v>45913.41644854167</v>
      </c>
    </row>
    <row r="89" spans="1:10" x14ac:dyDescent="0.35">
      <c r="A89" s="2">
        <v>88</v>
      </c>
      <c r="B89" s="2" t="s">
        <v>432</v>
      </c>
      <c r="C89" s="2">
        <v>10002116309</v>
      </c>
      <c r="D89" s="2" t="s">
        <v>433</v>
      </c>
      <c r="E89" s="2">
        <v>7767137246</v>
      </c>
      <c r="F89" s="2">
        <v>400027</v>
      </c>
      <c r="G89" s="2" t="s">
        <v>100</v>
      </c>
      <c r="H89" s="2" t="s">
        <v>113</v>
      </c>
      <c r="I89" s="2" t="s">
        <v>434</v>
      </c>
      <c r="J89" s="3">
        <v>45913.41644854167</v>
      </c>
    </row>
    <row r="90" spans="1:10" x14ac:dyDescent="0.35">
      <c r="A90" s="2">
        <v>89</v>
      </c>
      <c r="B90" s="2" t="s">
        <v>435</v>
      </c>
      <c r="C90" s="2">
        <v>10002127349</v>
      </c>
      <c r="D90" s="2" t="s">
        <v>436</v>
      </c>
      <c r="E90" s="2">
        <v>7909385382</v>
      </c>
      <c r="F90" s="2">
        <v>400016</v>
      </c>
      <c r="G90" s="2" t="s">
        <v>100</v>
      </c>
      <c r="H90" s="2" t="s">
        <v>437</v>
      </c>
      <c r="I90" s="2" t="s">
        <v>438</v>
      </c>
      <c r="J90" s="3">
        <v>45913.41644854167</v>
      </c>
    </row>
    <row r="91" spans="1:10" x14ac:dyDescent="0.35">
      <c r="A91" s="2">
        <v>90</v>
      </c>
      <c r="B91" s="2" t="s">
        <v>439</v>
      </c>
      <c r="C91" s="2">
        <v>10002148809</v>
      </c>
      <c r="D91" s="2" t="s">
        <v>440</v>
      </c>
      <c r="E91" s="2">
        <v>7706940057</v>
      </c>
      <c r="F91" s="2">
        <v>400001</v>
      </c>
      <c r="G91" s="2" t="s">
        <v>100</v>
      </c>
      <c r="H91" s="2" t="s">
        <v>441</v>
      </c>
      <c r="I91" s="2" t="s">
        <v>442</v>
      </c>
      <c r="J91" s="3">
        <v>45913.41644854167</v>
      </c>
    </row>
    <row r="92" spans="1:10" x14ac:dyDescent="0.35">
      <c r="A92" s="2">
        <v>91</v>
      </c>
      <c r="B92" s="2" t="s">
        <v>443</v>
      </c>
      <c r="C92" s="2">
        <v>10002151689</v>
      </c>
      <c r="D92" s="2" t="s">
        <v>444</v>
      </c>
      <c r="E92" s="2">
        <v>7748384841</v>
      </c>
      <c r="F92" s="2">
        <v>400033</v>
      </c>
      <c r="G92" s="2" t="s">
        <v>100</v>
      </c>
      <c r="H92" s="2" t="s">
        <v>238</v>
      </c>
      <c r="I92" s="2" t="s">
        <v>445</v>
      </c>
      <c r="J92" s="3">
        <v>45913.41644854167</v>
      </c>
    </row>
    <row r="93" spans="1:10" x14ac:dyDescent="0.35">
      <c r="A93" s="2">
        <v>92</v>
      </c>
      <c r="B93" s="2" t="s">
        <v>446</v>
      </c>
      <c r="C93" s="2">
        <v>10002156829</v>
      </c>
      <c r="D93" s="2" t="s">
        <v>447</v>
      </c>
      <c r="E93" s="2">
        <v>7703114049</v>
      </c>
      <c r="F93" s="2">
        <v>400057</v>
      </c>
      <c r="G93" s="2" t="s">
        <v>100</v>
      </c>
      <c r="H93" s="2" t="s">
        <v>448</v>
      </c>
      <c r="I93" s="2" t="s">
        <v>449</v>
      </c>
      <c r="J93" s="3">
        <v>45913.41644854167</v>
      </c>
    </row>
    <row r="94" spans="1:10" x14ac:dyDescent="0.35">
      <c r="A94" s="2">
        <v>93</v>
      </c>
      <c r="B94" s="2" t="s">
        <v>450</v>
      </c>
      <c r="C94" s="2">
        <v>10002157029</v>
      </c>
      <c r="D94" s="2" t="s">
        <v>451</v>
      </c>
      <c r="E94" s="2">
        <v>7891140609</v>
      </c>
      <c r="F94" s="2">
        <v>400004</v>
      </c>
      <c r="G94" s="2" t="s">
        <v>100</v>
      </c>
      <c r="H94" s="2" t="s">
        <v>452</v>
      </c>
      <c r="I94" s="2" t="s">
        <v>453</v>
      </c>
      <c r="J94" s="3">
        <v>45913.41644854167</v>
      </c>
    </row>
    <row r="95" spans="1:10" x14ac:dyDescent="0.35">
      <c r="A95" s="2">
        <v>94</v>
      </c>
      <c r="B95" s="2" t="s">
        <v>454</v>
      </c>
      <c r="C95" s="2">
        <v>10002165189</v>
      </c>
      <c r="D95" s="2" t="s">
        <v>455</v>
      </c>
      <c r="E95" s="2">
        <v>7718640548</v>
      </c>
      <c r="F95" s="2">
        <v>400014</v>
      </c>
      <c r="G95" s="2" t="s">
        <v>100</v>
      </c>
      <c r="H95" s="2" t="s">
        <v>129</v>
      </c>
      <c r="I95" s="2" t="s">
        <v>456</v>
      </c>
      <c r="J95" s="3">
        <v>45913.41644854167</v>
      </c>
    </row>
    <row r="96" spans="1:10" x14ac:dyDescent="0.35">
      <c r="A96" s="2">
        <v>95</v>
      </c>
      <c r="B96" s="2" t="s">
        <v>457</v>
      </c>
      <c r="C96" s="2">
        <v>10002165799</v>
      </c>
      <c r="D96" s="2" t="s">
        <v>458</v>
      </c>
      <c r="E96" s="2">
        <v>7810611368</v>
      </c>
      <c r="F96" s="2">
        <v>400001</v>
      </c>
      <c r="G96" s="2" t="s">
        <v>100</v>
      </c>
      <c r="H96" s="2" t="s">
        <v>459</v>
      </c>
      <c r="I96" s="2" t="s">
        <v>460</v>
      </c>
      <c r="J96" s="3">
        <v>45913.41644854167</v>
      </c>
    </row>
    <row r="97" spans="1:10" x14ac:dyDescent="0.35">
      <c r="A97" s="2">
        <v>96</v>
      </c>
      <c r="B97" s="2" t="s">
        <v>461</v>
      </c>
      <c r="C97" s="2">
        <v>10002172689</v>
      </c>
      <c r="D97" s="2" t="s">
        <v>462</v>
      </c>
      <c r="E97" s="2">
        <v>7702151985</v>
      </c>
      <c r="F97" s="2">
        <v>400001</v>
      </c>
      <c r="G97" s="2" t="s">
        <v>100</v>
      </c>
      <c r="H97" s="2" t="s">
        <v>463</v>
      </c>
      <c r="I97" s="2" t="s">
        <v>464</v>
      </c>
      <c r="J97" s="3">
        <v>45913.41644854167</v>
      </c>
    </row>
    <row r="98" spans="1:10" x14ac:dyDescent="0.35">
      <c r="A98" s="2">
        <v>97</v>
      </c>
      <c r="B98" s="2" t="s">
        <v>465</v>
      </c>
      <c r="C98" s="2">
        <v>10002190059</v>
      </c>
      <c r="D98" s="2" t="s">
        <v>466</v>
      </c>
      <c r="E98" s="2">
        <v>7705534635</v>
      </c>
      <c r="F98" s="2">
        <v>400060</v>
      </c>
      <c r="G98" s="2" t="s">
        <v>100</v>
      </c>
      <c r="H98" s="2" t="s">
        <v>210</v>
      </c>
      <c r="I98" s="2" t="s">
        <v>467</v>
      </c>
      <c r="J98" s="3">
        <v>45913.41644854167</v>
      </c>
    </row>
    <row r="99" spans="1:10" x14ac:dyDescent="0.35">
      <c r="A99" s="2">
        <v>98</v>
      </c>
      <c r="B99" s="2" t="s">
        <v>468</v>
      </c>
      <c r="C99" s="2">
        <v>10002192039</v>
      </c>
      <c r="D99" s="2" t="s">
        <v>469</v>
      </c>
      <c r="E99" s="2">
        <v>7700673488</v>
      </c>
      <c r="F99" s="2">
        <v>400001</v>
      </c>
      <c r="G99" s="2" t="s">
        <v>100</v>
      </c>
      <c r="H99" s="2" t="s">
        <v>459</v>
      </c>
      <c r="I99" s="2" t="s">
        <v>470</v>
      </c>
      <c r="J99" s="3">
        <v>45913.41644854167</v>
      </c>
    </row>
    <row r="100" spans="1:10" x14ac:dyDescent="0.35">
      <c r="A100" s="2">
        <v>99</v>
      </c>
      <c r="B100" s="2" t="s">
        <v>471</v>
      </c>
      <c r="C100" s="2">
        <v>10002194069</v>
      </c>
      <c r="D100" s="2" t="s">
        <v>472</v>
      </c>
      <c r="E100" s="2">
        <v>8601885680</v>
      </c>
      <c r="F100" s="2">
        <v>400007</v>
      </c>
      <c r="G100" s="2" t="s">
        <v>100</v>
      </c>
      <c r="H100" s="2" t="s">
        <v>168</v>
      </c>
      <c r="I100" s="2" t="s">
        <v>473</v>
      </c>
      <c r="J100" s="3">
        <v>45913.41644854167</v>
      </c>
    </row>
    <row r="101" spans="1:10" x14ac:dyDescent="0.35">
      <c r="A101" s="2">
        <v>100</v>
      </c>
      <c r="B101" s="2" t="s">
        <v>474</v>
      </c>
      <c r="C101" s="2">
        <v>10002202359</v>
      </c>
      <c r="D101" s="2" t="s">
        <v>475</v>
      </c>
      <c r="E101" s="2">
        <v>7708296164</v>
      </c>
      <c r="F101" s="2">
        <v>400060</v>
      </c>
      <c r="G101" s="2" t="s">
        <v>100</v>
      </c>
      <c r="H101" s="2" t="s">
        <v>210</v>
      </c>
      <c r="I101" s="2" t="s">
        <v>476</v>
      </c>
      <c r="J101" s="3">
        <v>45913.41644854167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A6167-3B09-4B66-9362-84DD9654989A}">
  <dimension ref="A1:T32"/>
  <sheetViews>
    <sheetView workbookViewId="0"/>
  </sheetViews>
  <sheetFormatPr defaultRowHeight="14.5" x14ac:dyDescent="0.35"/>
  <cols>
    <col min="1" max="1" width="16.54296875" bestFit="1" customWidth="1"/>
    <col min="2" max="2" width="13.54296875" bestFit="1" customWidth="1"/>
    <col min="3" max="3" width="26.90625" bestFit="1" customWidth="1"/>
    <col min="4" max="4" width="15.1796875" bestFit="1" customWidth="1"/>
    <col min="5" max="5" width="17.6328125" bestFit="1" customWidth="1"/>
    <col min="6" max="6" width="33.453125" bestFit="1" customWidth="1"/>
    <col min="7" max="7" width="18.81640625" bestFit="1" customWidth="1"/>
    <col min="8" max="8" width="16" bestFit="1" customWidth="1"/>
    <col min="9" max="9" width="15.90625" bestFit="1" customWidth="1"/>
    <col min="10" max="10" width="19.90625" bestFit="1" customWidth="1"/>
    <col min="11" max="11" width="13.453125" bestFit="1" customWidth="1"/>
    <col min="12" max="12" width="15.08984375" bestFit="1" customWidth="1"/>
    <col min="13" max="13" width="19.26953125" bestFit="1" customWidth="1"/>
    <col min="14" max="14" width="15" bestFit="1" customWidth="1"/>
    <col min="15" max="15" width="21.08984375" bestFit="1" customWidth="1"/>
    <col min="16" max="16" width="17.453125" bestFit="1" customWidth="1"/>
    <col min="17" max="17" width="15.81640625" bestFit="1" customWidth="1"/>
    <col min="18" max="18" width="16.6328125" bestFit="1" customWidth="1"/>
    <col min="19" max="19" width="18.7265625" bestFit="1" customWidth="1"/>
    <col min="20" max="20" width="22.26953125" bestFit="1" customWidth="1"/>
  </cols>
  <sheetData>
    <row r="1" spans="1:20" ht="23.5" x14ac:dyDescent="0.35">
      <c r="A1" s="1" t="s">
        <v>558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</row>
    <row r="2" spans="1:20" x14ac:dyDescent="0.35">
      <c r="A2" s="2">
        <v>1</v>
      </c>
      <c r="B2" s="2">
        <v>999999</v>
      </c>
      <c r="C2" s="2" t="s">
        <v>25</v>
      </c>
      <c r="D2" s="5">
        <v>45918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26</v>
      </c>
      <c r="K2" s="2" t="s">
        <v>31</v>
      </c>
      <c r="L2" s="2" t="s">
        <v>25</v>
      </c>
      <c r="M2" s="2" t="s">
        <v>32</v>
      </c>
      <c r="N2" s="2" t="s">
        <v>33</v>
      </c>
      <c r="O2" s="3">
        <v>45918.44738646991</v>
      </c>
      <c r="P2" s="6">
        <v>2958465.999988426</v>
      </c>
      <c r="Q2" s="3">
        <v>45918.44738646991</v>
      </c>
      <c r="R2" s="3">
        <v>45918.44738646991</v>
      </c>
      <c r="S2" s="2" t="s">
        <v>34</v>
      </c>
      <c r="T2" s="3">
        <v>45918.44738646991</v>
      </c>
    </row>
    <row r="3" spans="1:20" x14ac:dyDescent="0.35">
      <c r="A3" s="2">
        <v>2</v>
      </c>
      <c r="B3" s="2">
        <v>24778</v>
      </c>
      <c r="C3" s="2" t="s">
        <v>35</v>
      </c>
      <c r="D3" s="5">
        <v>44033</v>
      </c>
      <c r="E3" s="2" t="s">
        <v>36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41</v>
      </c>
      <c r="K3" s="2" t="s">
        <v>42</v>
      </c>
      <c r="L3" s="2" t="s">
        <v>43</v>
      </c>
      <c r="M3" s="2" t="s">
        <v>44</v>
      </c>
      <c r="N3" s="2" t="s">
        <v>33</v>
      </c>
      <c r="O3" s="6">
        <v>45918.448900462965</v>
      </c>
      <c r="P3" s="6">
        <v>2958465</v>
      </c>
      <c r="Q3" s="6">
        <v>45918.448900462965</v>
      </c>
      <c r="R3" s="6">
        <v>45918.448900462965</v>
      </c>
      <c r="S3" s="2" t="s">
        <v>5</v>
      </c>
      <c r="T3" s="6">
        <v>45918.448900462965</v>
      </c>
    </row>
    <row r="4" spans="1:20" x14ac:dyDescent="0.35">
      <c r="A4" s="2">
        <v>3</v>
      </c>
      <c r="B4" s="2">
        <v>25012</v>
      </c>
      <c r="C4" s="2" t="s">
        <v>45</v>
      </c>
      <c r="D4" s="5">
        <v>44275</v>
      </c>
      <c r="E4" s="2" t="s">
        <v>46</v>
      </c>
      <c r="F4" s="2" t="s">
        <v>47</v>
      </c>
      <c r="G4" s="2" t="s">
        <v>48</v>
      </c>
      <c r="H4" s="2" t="s">
        <v>49</v>
      </c>
      <c r="I4" s="2" t="s">
        <v>50</v>
      </c>
      <c r="J4" s="2" t="s">
        <v>41</v>
      </c>
      <c r="K4" s="2" t="s">
        <v>42</v>
      </c>
      <c r="L4" s="2" t="s">
        <v>51</v>
      </c>
      <c r="M4" s="2" t="s">
        <v>44</v>
      </c>
      <c r="N4" s="2" t="s">
        <v>33</v>
      </c>
      <c r="O4" s="6">
        <v>45918.448900462965</v>
      </c>
      <c r="P4" s="6">
        <v>2958465</v>
      </c>
      <c r="Q4" s="6">
        <v>45918.448900462965</v>
      </c>
      <c r="R4" s="6">
        <v>45918.448900462965</v>
      </c>
      <c r="S4" s="2" t="s">
        <v>5</v>
      </c>
      <c r="T4" s="6">
        <v>45918.448900462965</v>
      </c>
    </row>
    <row r="5" spans="1:20" x14ac:dyDescent="0.35">
      <c r="A5" s="2">
        <v>4</v>
      </c>
      <c r="B5" s="2">
        <v>25266</v>
      </c>
      <c r="C5" s="2" t="s">
        <v>52</v>
      </c>
      <c r="D5" s="5">
        <v>44593</v>
      </c>
      <c r="E5" s="2" t="s">
        <v>53</v>
      </c>
      <c r="F5" s="2" t="s">
        <v>54</v>
      </c>
      <c r="G5" s="2" t="s">
        <v>55</v>
      </c>
      <c r="H5" s="2" t="s">
        <v>49</v>
      </c>
      <c r="I5" s="2" t="s">
        <v>50</v>
      </c>
      <c r="J5" s="2" t="s">
        <v>41</v>
      </c>
      <c r="K5" s="2" t="s">
        <v>56</v>
      </c>
      <c r="L5" s="2" t="s">
        <v>51</v>
      </c>
      <c r="M5" s="2" t="s">
        <v>44</v>
      </c>
      <c r="N5" s="2" t="s">
        <v>33</v>
      </c>
      <c r="O5" s="6">
        <v>45918.448900462965</v>
      </c>
      <c r="P5" s="6">
        <v>2958465</v>
      </c>
      <c r="Q5" s="6">
        <v>45918.448900462965</v>
      </c>
      <c r="R5" s="6">
        <v>45918.448900462965</v>
      </c>
      <c r="S5" s="2" t="s">
        <v>5</v>
      </c>
      <c r="T5" s="6">
        <v>45918.448900462965</v>
      </c>
    </row>
    <row r="6" spans="1:20" x14ac:dyDescent="0.35">
      <c r="A6" s="2">
        <v>5</v>
      </c>
      <c r="B6" s="2">
        <v>25354</v>
      </c>
      <c r="C6" s="2" t="s">
        <v>57</v>
      </c>
      <c r="D6" s="5">
        <v>44618</v>
      </c>
      <c r="E6" s="2" t="s">
        <v>58</v>
      </c>
      <c r="F6" s="2" t="s">
        <v>59</v>
      </c>
      <c r="G6" s="2" t="s">
        <v>60</v>
      </c>
      <c r="H6" s="2" t="s">
        <v>61</v>
      </c>
      <c r="I6" s="2" t="s">
        <v>62</v>
      </c>
      <c r="J6" s="2" t="s">
        <v>41</v>
      </c>
      <c r="K6" s="2" t="s">
        <v>63</v>
      </c>
      <c r="L6" s="2" t="s">
        <v>51</v>
      </c>
      <c r="M6" s="2" t="s">
        <v>44</v>
      </c>
      <c r="N6" s="2" t="s">
        <v>33</v>
      </c>
      <c r="O6" s="6">
        <v>45918.448900462965</v>
      </c>
      <c r="P6" s="6">
        <v>2958465</v>
      </c>
      <c r="Q6" s="6">
        <v>45918.448900462965</v>
      </c>
      <c r="R6" s="6">
        <v>45918.448900462965</v>
      </c>
      <c r="S6" s="2" t="s">
        <v>5</v>
      </c>
      <c r="T6" s="6">
        <v>45918.448900462965</v>
      </c>
    </row>
    <row r="7" spans="1:20" x14ac:dyDescent="0.35">
      <c r="A7" s="2">
        <v>6</v>
      </c>
      <c r="B7" s="2">
        <v>26496</v>
      </c>
      <c r="C7" s="2" t="s">
        <v>64</v>
      </c>
      <c r="D7" s="5">
        <v>45328</v>
      </c>
      <c r="E7" s="2" t="s">
        <v>65</v>
      </c>
      <c r="F7" s="2" t="s">
        <v>66</v>
      </c>
      <c r="G7" s="2" t="s">
        <v>67</v>
      </c>
      <c r="H7" s="2" t="s">
        <v>68</v>
      </c>
      <c r="I7" s="2" t="s">
        <v>69</v>
      </c>
      <c r="J7" s="2" t="s">
        <v>41</v>
      </c>
      <c r="K7" s="2" t="s">
        <v>70</v>
      </c>
      <c r="L7" s="2" t="s">
        <v>71</v>
      </c>
      <c r="M7" s="2" t="s">
        <v>44</v>
      </c>
      <c r="N7" s="2" t="s">
        <v>33</v>
      </c>
      <c r="O7" s="6">
        <v>45918.448900462965</v>
      </c>
      <c r="P7" s="6">
        <v>2958465</v>
      </c>
      <c r="Q7" s="6">
        <v>45918.448900462965</v>
      </c>
      <c r="R7" s="6">
        <v>45918.448900462965</v>
      </c>
      <c r="S7" s="2" t="s">
        <v>5</v>
      </c>
      <c r="T7" s="6">
        <v>45918.448900462965</v>
      </c>
    </row>
    <row r="8" spans="1:20" x14ac:dyDescent="0.35">
      <c r="A8" s="2">
        <v>7</v>
      </c>
      <c r="B8" s="2">
        <v>37170</v>
      </c>
      <c r="C8" s="2" t="s">
        <v>72</v>
      </c>
      <c r="D8" s="5">
        <v>44033</v>
      </c>
      <c r="E8" s="2" t="s">
        <v>36</v>
      </c>
      <c r="F8" s="2" t="s">
        <v>37</v>
      </c>
      <c r="G8" s="2" t="s">
        <v>73</v>
      </c>
      <c r="H8" s="2" t="s">
        <v>39</v>
      </c>
      <c r="I8" s="2" t="s">
        <v>74</v>
      </c>
      <c r="J8" s="2" t="s">
        <v>41</v>
      </c>
      <c r="K8" s="2" t="s">
        <v>42</v>
      </c>
      <c r="L8" s="2" t="s">
        <v>43</v>
      </c>
      <c r="M8" s="2" t="s">
        <v>44</v>
      </c>
      <c r="N8" s="2" t="s">
        <v>33</v>
      </c>
      <c r="O8" s="6">
        <v>45918.448900462965</v>
      </c>
      <c r="P8" s="6">
        <v>2958465</v>
      </c>
      <c r="Q8" s="6">
        <v>45918.448900462965</v>
      </c>
      <c r="R8" s="6">
        <v>45918.448900462965</v>
      </c>
      <c r="S8" s="2" t="s">
        <v>5</v>
      </c>
      <c r="T8" s="6">
        <v>45918.448900462965</v>
      </c>
    </row>
    <row r="9" spans="1:20" x14ac:dyDescent="0.35">
      <c r="A9" s="2">
        <v>8</v>
      </c>
      <c r="B9" s="2">
        <v>37632</v>
      </c>
      <c r="C9" s="2" t="s">
        <v>75</v>
      </c>
      <c r="D9" s="5">
        <v>44557</v>
      </c>
      <c r="E9" s="2" t="s">
        <v>76</v>
      </c>
      <c r="F9" s="2" t="s">
        <v>77</v>
      </c>
      <c r="G9" s="2" t="s">
        <v>78</v>
      </c>
      <c r="H9" s="2" t="s">
        <v>49</v>
      </c>
      <c r="I9" s="2" t="s">
        <v>50</v>
      </c>
      <c r="J9" s="2" t="s">
        <v>41</v>
      </c>
      <c r="K9" s="2" t="s">
        <v>79</v>
      </c>
      <c r="L9" s="2" t="s">
        <v>51</v>
      </c>
      <c r="M9" s="2" t="s">
        <v>44</v>
      </c>
      <c r="N9" s="2" t="s">
        <v>33</v>
      </c>
      <c r="O9" s="6">
        <v>45918.448900462965</v>
      </c>
      <c r="P9" s="6">
        <v>2958465</v>
      </c>
      <c r="Q9" s="6">
        <v>45918.448900462965</v>
      </c>
      <c r="R9" s="6">
        <v>45918.448900462965</v>
      </c>
      <c r="S9" s="2" t="s">
        <v>5</v>
      </c>
      <c r="T9" s="6">
        <v>45918.448900462965</v>
      </c>
    </row>
    <row r="10" spans="1:20" x14ac:dyDescent="0.35">
      <c r="A10" s="2">
        <v>9</v>
      </c>
      <c r="B10" s="2">
        <v>38472</v>
      </c>
      <c r="C10" s="2" t="s">
        <v>80</v>
      </c>
      <c r="D10" s="5">
        <v>44936</v>
      </c>
      <c r="E10" s="2" t="s">
        <v>81</v>
      </c>
      <c r="F10" s="2" t="s">
        <v>82</v>
      </c>
      <c r="G10" s="2" t="s">
        <v>83</v>
      </c>
      <c r="H10" s="2" t="s">
        <v>68</v>
      </c>
      <c r="I10" s="2" t="s">
        <v>69</v>
      </c>
      <c r="J10" s="2" t="s">
        <v>41</v>
      </c>
      <c r="K10" s="2" t="s">
        <v>42</v>
      </c>
      <c r="L10" s="2" t="s">
        <v>71</v>
      </c>
      <c r="M10" s="2" t="s">
        <v>44</v>
      </c>
      <c r="N10" s="2" t="s">
        <v>33</v>
      </c>
      <c r="O10" s="6">
        <v>45918.448900462965</v>
      </c>
      <c r="P10" s="6">
        <v>2958465</v>
      </c>
      <c r="Q10" s="6">
        <v>45918.448900462965</v>
      </c>
      <c r="R10" s="6">
        <v>45918.448900462965</v>
      </c>
      <c r="S10" s="2" t="s">
        <v>5</v>
      </c>
      <c r="T10" s="6">
        <v>45918.448900462965</v>
      </c>
    </row>
    <row r="11" spans="1:20" x14ac:dyDescent="0.35">
      <c r="A11" s="2">
        <v>10</v>
      </c>
      <c r="B11" s="2">
        <v>39357</v>
      </c>
      <c r="C11" s="2" t="s">
        <v>84</v>
      </c>
      <c r="D11" s="5">
        <v>45147</v>
      </c>
      <c r="E11" s="2" t="s">
        <v>76</v>
      </c>
      <c r="F11" s="2" t="s">
        <v>77</v>
      </c>
      <c r="G11" s="2" t="s">
        <v>48</v>
      </c>
      <c r="H11" s="2" t="s">
        <v>49</v>
      </c>
      <c r="I11" s="2" t="s">
        <v>50</v>
      </c>
      <c r="J11" s="2" t="s">
        <v>41</v>
      </c>
      <c r="K11" s="2" t="s">
        <v>79</v>
      </c>
      <c r="L11" s="2" t="s">
        <v>51</v>
      </c>
      <c r="M11" s="2" t="s">
        <v>44</v>
      </c>
      <c r="N11" s="2" t="s">
        <v>33</v>
      </c>
      <c r="O11" s="6">
        <v>45918.448900462965</v>
      </c>
      <c r="P11" s="6">
        <v>2958465</v>
      </c>
      <c r="Q11" s="6">
        <v>45918.448900462965</v>
      </c>
      <c r="R11" s="6">
        <v>45918.448900462965</v>
      </c>
      <c r="S11" s="2" t="s">
        <v>5</v>
      </c>
      <c r="T11" s="6">
        <v>45918.448900462965</v>
      </c>
    </row>
    <row r="12" spans="1:20" x14ac:dyDescent="0.35">
      <c r="A12" s="2">
        <v>11</v>
      </c>
      <c r="B12" s="2">
        <v>39381</v>
      </c>
      <c r="C12" s="2" t="s">
        <v>85</v>
      </c>
      <c r="D12" s="5">
        <v>45169</v>
      </c>
      <c r="E12" s="2" t="s">
        <v>81</v>
      </c>
      <c r="F12" s="2" t="s">
        <v>82</v>
      </c>
      <c r="G12" s="2" t="s">
        <v>83</v>
      </c>
      <c r="H12" s="2" t="s">
        <v>68</v>
      </c>
      <c r="I12" s="2" t="s">
        <v>69</v>
      </c>
      <c r="J12" s="2" t="s">
        <v>41</v>
      </c>
      <c r="K12" s="2" t="s">
        <v>42</v>
      </c>
      <c r="L12" s="2" t="s">
        <v>71</v>
      </c>
      <c r="M12" s="2" t="s">
        <v>44</v>
      </c>
      <c r="N12" s="2" t="s">
        <v>33</v>
      </c>
      <c r="O12" s="6">
        <v>45918.448900462965</v>
      </c>
      <c r="P12" s="6">
        <v>2958465</v>
      </c>
      <c r="Q12" s="6">
        <v>45918.448900462965</v>
      </c>
      <c r="R12" s="6">
        <v>45918.448900462965</v>
      </c>
      <c r="S12" s="2" t="s">
        <v>5</v>
      </c>
      <c r="T12" s="6">
        <v>45918.448900462965</v>
      </c>
    </row>
    <row r="13" spans="1:20" x14ac:dyDescent="0.35">
      <c r="A13" s="2">
        <v>12</v>
      </c>
      <c r="B13" s="2">
        <v>47808</v>
      </c>
      <c r="C13" s="2" t="s">
        <v>86</v>
      </c>
      <c r="D13" s="5">
        <v>43161</v>
      </c>
      <c r="E13" s="2" t="s">
        <v>87</v>
      </c>
      <c r="F13" s="2" t="s">
        <v>88</v>
      </c>
      <c r="G13" s="2" t="s">
        <v>67</v>
      </c>
      <c r="H13" s="2" t="s">
        <v>68</v>
      </c>
      <c r="I13" s="2" t="s">
        <v>69</v>
      </c>
      <c r="J13" s="2" t="s">
        <v>41</v>
      </c>
      <c r="K13" s="2" t="s">
        <v>63</v>
      </c>
      <c r="L13" s="2" t="s">
        <v>71</v>
      </c>
      <c r="M13" s="2" t="s">
        <v>44</v>
      </c>
      <c r="N13" s="2" t="s">
        <v>33</v>
      </c>
      <c r="O13" s="6">
        <v>45918.448900462965</v>
      </c>
      <c r="P13" s="6">
        <v>2958465</v>
      </c>
      <c r="Q13" s="6">
        <v>45918.448900462965</v>
      </c>
      <c r="R13" s="6">
        <v>45918.448900462965</v>
      </c>
      <c r="S13" s="2" t="s">
        <v>5</v>
      </c>
      <c r="T13" s="6">
        <v>45918.448900462965</v>
      </c>
    </row>
    <row r="14" spans="1:20" x14ac:dyDescent="0.35">
      <c r="A14" s="2">
        <v>13</v>
      </c>
      <c r="B14" s="2">
        <v>49552</v>
      </c>
      <c r="C14" s="2" t="s">
        <v>89</v>
      </c>
      <c r="D14" s="5">
        <v>44033</v>
      </c>
      <c r="E14" s="2" t="s">
        <v>36</v>
      </c>
      <c r="F14" s="2" t="s">
        <v>37</v>
      </c>
      <c r="G14" s="2" t="s">
        <v>38</v>
      </c>
      <c r="H14" s="2" t="s">
        <v>39</v>
      </c>
      <c r="I14" s="2" t="s">
        <v>40</v>
      </c>
      <c r="J14" s="2" t="s">
        <v>41</v>
      </c>
      <c r="K14" s="2" t="s">
        <v>42</v>
      </c>
      <c r="L14" s="2" t="s">
        <v>43</v>
      </c>
      <c r="M14" s="2" t="s">
        <v>44</v>
      </c>
      <c r="N14" s="2" t="s">
        <v>33</v>
      </c>
      <c r="O14" s="6">
        <v>45918.448900462965</v>
      </c>
      <c r="P14" s="6">
        <v>2958465</v>
      </c>
      <c r="Q14" s="6">
        <v>45918.448900462965</v>
      </c>
      <c r="R14" s="6">
        <v>45918.448900462965</v>
      </c>
      <c r="S14" s="2" t="s">
        <v>5</v>
      </c>
      <c r="T14" s="6">
        <v>45918.448900462965</v>
      </c>
    </row>
    <row r="15" spans="1:20" x14ac:dyDescent="0.35">
      <c r="A15" s="2">
        <v>14</v>
      </c>
      <c r="B15" s="2">
        <v>50060</v>
      </c>
      <c r="C15" s="2" t="s">
        <v>90</v>
      </c>
      <c r="D15" s="5">
        <v>44276</v>
      </c>
      <c r="E15" s="2" t="s">
        <v>36</v>
      </c>
      <c r="F15" s="2" t="s">
        <v>37</v>
      </c>
      <c r="G15" s="2" t="s">
        <v>91</v>
      </c>
      <c r="H15" s="2" t="s">
        <v>92</v>
      </c>
      <c r="I15" s="2" t="s">
        <v>93</v>
      </c>
      <c r="J15" s="2" t="s">
        <v>41</v>
      </c>
      <c r="K15" s="2" t="s">
        <v>42</v>
      </c>
      <c r="L15" s="2" t="s">
        <v>43</v>
      </c>
      <c r="M15" s="2" t="s">
        <v>44</v>
      </c>
      <c r="N15" s="2" t="s">
        <v>33</v>
      </c>
      <c r="O15" s="6">
        <v>45918.448900462965</v>
      </c>
      <c r="P15" s="6">
        <v>2958465</v>
      </c>
      <c r="Q15" s="6">
        <v>45918.448900462965</v>
      </c>
      <c r="R15" s="6">
        <v>45918.448900462965</v>
      </c>
      <c r="S15" s="2" t="s">
        <v>5</v>
      </c>
      <c r="T15" s="6">
        <v>45918.448900462965</v>
      </c>
    </row>
    <row r="16" spans="1:20" x14ac:dyDescent="0.35">
      <c r="A16" s="2">
        <v>15</v>
      </c>
      <c r="B16" s="2">
        <v>50068</v>
      </c>
      <c r="C16" s="2" t="s">
        <v>94</v>
      </c>
      <c r="D16" s="5">
        <v>44305</v>
      </c>
      <c r="E16" s="2" t="s">
        <v>36</v>
      </c>
      <c r="F16" s="2" t="s">
        <v>37</v>
      </c>
      <c r="G16" s="2" t="s">
        <v>95</v>
      </c>
      <c r="H16" s="2" t="s">
        <v>96</v>
      </c>
      <c r="I16" s="2" t="s">
        <v>97</v>
      </c>
      <c r="J16" s="2" t="s">
        <v>41</v>
      </c>
      <c r="K16" s="2" t="s">
        <v>42</v>
      </c>
      <c r="L16" s="2" t="s">
        <v>43</v>
      </c>
      <c r="M16" s="2" t="s">
        <v>44</v>
      </c>
      <c r="N16" s="2" t="s">
        <v>33</v>
      </c>
      <c r="O16" s="6">
        <v>45918.448900462965</v>
      </c>
      <c r="P16" s="6">
        <v>2958465</v>
      </c>
      <c r="Q16" s="6">
        <v>45918.448900462965</v>
      </c>
      <c r="R16" s="6">
        <v>45918.448900462965</v>
      </c>
      <c r="S16" s="2" t="s">
        <v>5</v>
      </c>
      <c r="T16" s="6">
        <v>45918.448900462965</v>
      </c>
    </row>
    <row r="17" spans="1:20" x14ac:dyDescent="0.35">
      <c r="A17" s="2">
        <v>16</v>
      </c>
      <c r="B17" s="2">
        <v>51436</v>
      </c>
      <c r="C17" s="2" t="s">
        <v>98</v>
      </c>
      <c r="D17" s="5">
        <v>44963</v>
      </c>
      <c r="E17" s="2" t="s">
        <v>65</v>
      </c>
      <c r="F17" s="2" t="s">
        <v>66</v>
      </c>
      <c r="G17" s="2" t="s">
        <v>67</v>
      </c>
      <c r="H17" s="2" t="s">
        <v>68</v>
      </c>
      <c r="I17" s="2" t="s">
        <v>69</v>
      </c>
      <c r="J17" s="2" t="s">
        <v>41</v>
      </c>
      <c r="K17" s="2" t="s">
        <v>70</v>
      </c>
      <c r="L17" s="2" t="s">
        <v>71</v>
      </c>
      <c r="M17" s="2" t="s">
        <v>44</v>
      </c>
      <c r="N17" s="2" t="s">
        <v>33</v>
      </c>
      <c r="O17" s="6">
        <v>45918.448900462965</v>
      </c>
      <c r="P17" s="6">
        <v>2958465</v>
      </c>
      <c r="Q17" s="6">
        <v>45918.448900462965</v>
      </c>
      <c r="R17" s="6">
        <v>45918.448900462965</v>
      </c>
      <c r="S17" s="2" t="s">
        <v>5</v>
      </c>
      <c r="T17" s="6">
        <v>45918.448900462965</v>
      </c>
    </row>
    <row r="18" spans="1:20" x14ac:dyDescent="0.35">
      <c r="A18" s="2">
        <v>17</v>
      </c>
      <c r="B18" s="2">
        <v>24778</v>
      </c>
      <c r="C18" s="2" t="s">
        <v>35</v>
      </c>
      <c r="D18" s="5">
        <v>44033</v>
      </c>
      <c r="E18" s="2" t="s">
        <v>36</v>
      </c>
      <c r="F18" s="2" t="s">
        <v>37</v>
      </c>
      <c r="G18" s="2" t="s">
        <v>38</v>
      </c>
      <c r="H18" s="2" t="s">
        <v>39</v>
      </c>
      <c r="I18" s="2" t="s">
        <v>40</v>
      </c>
      <c r="J18" s="2" t="s">
        <v>41</v>
      </c>
      <c r="K18" s="2" t="s">
        <v>42</v>
      </c>
      <c r="L18" s="2" t="s">
        <v>43</v>
      </c>
      <c r="M18" s="2" t="s">
        <v>44</v>
      </c>
      <c r="N18" s="2" t="s">
        <v>33</v>
      </c>
      <c r="O18" s="6">
        <v>45918.448900462965</v>
      </c>
      <c r="P18" s="6">
        <v>2958465</v>
      </c>
      <c r="Q18" s="6">
        <v>45918.448900462965</v>
      </c>
      <c r="R18" s="6">
        <v>45918.448900462965</v>
      </c>
      <c r="S18" s="2" t="s">
        <v>5</v>
      </c>
      <c r="T18" s="6">
        <v>45918.448900462965</v>
      </c>
    </row>
    <row r="19" spans="1:20" x14ac:dyDescent="0.35">
      <c r="A19" s="2">
        <v>18</v>
      </c>
      <c r="B19" s="2">
        <v>25012</v>
      </c>
      <c r="C19" s="2" t="s">
        <v>45</v>
      </c>
      <c r="D19" s="5">
        <v>44275</v>
      </c>
      <c r="E19" s="2" t="s">
        <v>46</v>
      </c>
      <c r="F19" s="2" t="s">
        <v>47</v>
      </c>
      <c r="G19" s="2" t="s">
        <v>48</v>
      </c>
      <c r="H19" s="2" t="s">
        <v>49</v>
      </c>
      <c r="I19" s="2" t="s">
        <v>50</v>
      </c>
      <c r="J19" s="2" t="s">
        <v>41</v>
      </c>
      <c r="K19" s="2" t="s">
        <v>42</v>
      </c>
      <c r="L19" s="2" t="s">
        <v>51</v>
      </c>
      <c r="M19" s="2" t="s">
        <v>44</v>
      </c>
      <c r="N19" s="2" t="s">
        <v>33</v>
      </c>
      <c r="O19" s="6">
        <v>45918.448900462965</v>
      </c>
      <c r="P19" s="6">
        <v>2958465</v>
      </c>
      <c r="Q19" s="6">
        <v>45918.448900462965</v>
      </c>
      <c r="R19" s="6">
        <v>45918.448900462965</v>
      </c>
      <c r="S19" s="2" t="s">
        <v>5</v>
      </c>
      <c r="T19" s="6">
        <v>45918.448900462965</v>
      </c>
    </row>
    <row r="20" spans="1:20" x14ac:dyDescent="0.35">
      <c r="A20" s="2">
        <v>19</v>
      </c>
      <c r="B20" s="2">
        <v>25266</v>
      </c>
      <c r="C20" s="2" t="s">
        <v>52</v>
      </c>
      <c r="D20" s="5">
        <v>44593</v>
      </c>
      <c r="E20" s="2" t="s">
        <v>53</v>
      </c>
      <c r="F20" s="2" t="s">
        <v>54</v>
      </c>
      <c r="G20" s="2" t="s">
        <v>55</v>
      </c>
      <c r="H20" s="2" t="s">
        <v>49</v>
      </c>
      <c r="I20" s="2" t="s">
        <v>50</v>
      </c>
      <c r="J20" s="2" t="s">
        <v>41</v>
      </c>
      <c r="K20" s="2" t="s">
        <v>56</v>
      </c>
      <c r="L20" s="2" t="s">
        <v>51</v>
      </c>
      <c r="M20" s="2" t="s">
        <v>44</v>
      </c>
      <c r="N20" s="2" t="s">
        <v>33</v>
      </c>
      <c r="O20" s="6">
        <v>45918.448900462965</v>
      </c>
      <c r="P20" s="6">
        <v>2958465</v>
      </c>
      <c r="Q20" s="6">
        <v>45918.448900462965</v>
      </c>
      <c r="R20" s="6">
        <v>45918.448900462965</v>
      </c>
      <c r="S20" s="2" t="s">
        <v>5</v>
      </c>
      <c r="T20" s="6">
        <v>45918.448900462965</v>
      </c>
    </row>
    <row r="21" spans="1:20" x14ac:dyDescent="0.35">
      <c r="A21" s="2">
        <v>20</v>
      </c>
      <c r="B21" s="2">
        <v>25354</v>
      </c>
      <c r="C21" s="2" t="s">
        <v>57</v>
      </c>
      <c r="D21" s="5">
        <v>44618</v>
      </c>
      <c r="E21" s="2" t="s">
        <v>58</v>
      </c>
      <c r="F21" s="2" t="s">
        <v>59</v>
      </c>
      <c r="G21" s="2" t="s">
        <v>60</v>
      </c>
      <c r="H21" s="2" t="s">
        <v>61</v>
      </c>
      <c r="I21" s="2" t="s">
        <v>62</v>
      </c>
      <c r="J21" s="2" t="s">
        <v>41</v>
      </c>
      <c r="K21" s="2" t="s">
        <v>63</v>
      </c>
      <c r="L21" s="2" t="s">
        <v>51</v>
      </c>
      <c r="M21" s="2" t="s">
        <v>44</v>
      </c>
      <c r="N21" s="2" t="s">
        <v>33</v>
      </c>
      <c r="O21" s="6">
        <v>45918.448900462965</v>
      </c>
      <c r="P21" s="6">
        <v>2958465</v>
      </c>
      <c r="Q21" s="6">
        <v>45918.448900462965</v>
      </c>
      <c r="R21" s="6">
        <v>45918.448900462965</v>
      </c>
      <c r="S21" s="2" t="s">
        <v>5</v>
      </c>
      <c r="T21" s="6">
        <v>45918.448900462965</v>
      </c>
    </row>
    <row r="22" spans="1:20" x14ac:dyDescent="0.35">
      <c r="A22" s="2">
        <v>21</v>
      </c>
      <c r="B22" s="2">
        <v>26496</v>
      </c>
      <c r="C22" s="2" t="s">
        <v>64</v>
      </c>
      <c r="D22" s="5">
        <v>45328</v>
      </c>
      <c r="E22" s="2" t="s">
        <v>65</v>
      </c>
      <c r="F22" s="2" t="s">
        <v>66</v>
      </c>
      <c r="G22" s="2" t="s">
        <v>67</v>
      </c>
      <c r="H22" s="2" t="s">
        <v>68</v>
      </c>
      <c r="I22" s="2" t="s">
        <v>69</v>
      </c>
      <c r="J22" s="2" t="s">
        <v>41</v>
      </c>
      <c r="K22" s="2" t="s">
        <v>70</v>
      </c>
      <c r="L22" s="2" t="s">
        <v>71</v>
      </c>
      <c r="M22" s="2" t="s">
        <v>44</v>
      </c>
      <c r="N22" s="2" t="s">
        <v>33</v>
      </c>
      <c r="O22" s="6">
        <v>45918.448900462965</v>
      </c>
      <c r="P22" s="6">
        <v>2958465</v>
      </c>
      <c r="Q22" s="6">
        <v>45918.448900462965</v>
      </c>
      <c r="R22" s="6">
        <v>45918.448900462965</v>
      </c>
      <c r="S22" s="2" t="s">
        <v>5</v>
      </c>
      <c r="T22" s="6">
        <v>45918.448900462965</v>
      </c>
    </row>
    <row r="23" spans="1:20" x14ac:dyDescent="0.35">
      <c r="A23" s="2">
        <v>22</v>
      </c>
      <c r="B23" s="2">
        <v>37170</v>
      </c>
      <c r="C23" s="2" t="s">
        <v>72</v>
      </c>
      <c r="D23" s="5">
        <v>44033</v>
      </c>
      <c r="E23" s="2" t="s">
        <v>36</v>
      </c>
      <c r="F23" s="2" t="s">
        <v>37</v>
      </c>
      <c r="G23" s="2" t="s">
        <v>73</v>
      </c>
      <c r="H23" s="2" t="s">
        <v>39</v>
      </c>
      <c r="I23" s="2" t="s">
        <v>74</v>
      </c>
      <c r="J23" s="2" t="s">
        <v>41</v>
      </c>
      <c r="K23" s="2" t="s">
        <v>42</v>
      </c>
      <c r="L23" s="2" t="s">
        <v>43</v>
      </c>
      <c r="M23" s="2" t="s">
        <v>44</v>
      </c>
      <c r="N23" s="2" t="s">
        <v>33</v>
      </c>
      <c r="O23" s="6">
        <v>45918.448900462965</v>
      </c>
      <c r="P23" s="6">
        <v>2958465</v>
      </c>
      <c r="Q23" s="6">
        <v>45918.448900462965</v>
      </c>
      <c r="R23" s="6">
        <v>45918.448900462965</v>
      </c>
      <c r="S23" s="2" t="s">
        <v>5</v>
      </c>
      <c r="T23" s="6">
        <v>45918.448900462965</v>
      </c>
    </row>
    <row r="24" spans="1:20" x14ac:dyDescent="0.35">
      <c r="A24" s="2">
        <v>23</v>
      </c>
      <c r="B24" s="2">
        <v>37632</v>
      </c>
      <c r="C24" s="2" t="s">
        <v>75</v>
      </c>
      <c r="D24" s="5">
        <v>44557</v>
      </c>
      <c r="E24" s="2" t="s">
        <v>76</v>
      </c>
      <c r="F24" s="2" t="s">
        <v>77</v>
      </c>
      <c r="G24" s="2" t="s">
        <v>78</v>
      </c>
      <c r="H24" s="2" t="s">
        <v>49</v>
      </c>
      <c r="I24" s="2" t="s">
        <v>50</v>
      </c>
      <c r="J24" s="2" t="s">
        <v>41</v>
      </c>
      <c r="K24" s="2" t="s">
        <v>79</v>
      </c>
      <c r="L24" s="2" t="s">
        <v>51</v>
      </c>
      <c r="M24" s="2" t="s">
        <v>44</v>
      </c>
      <c r="N24" s="2" t="s">
        <v>33</v>
      </c>
      <c r="O24" s="6">
        <v>45918.448900462965</v>
      </c>
      <c r="P24" s="6">
        <v>2958465</v>
      </c>
      <c r="Q24" s="6">
        <v>45918.448900462965</v>
      </c>
      <c r="R24" s="6">
        <v>45918.448900462965</v>
      </c>
      <c r="S24" s="2" t="s">
        <v>5</v>
      </c>
      <c r="T24" s="6">
        <v>45918.448900462965</v>
      </c>
    </row>
    <row r="25" spans="1:20" x14ac:dyDescent="0.35">
      <c r="A25" s="2">
        <v>24</v>
      </c>
      <c r="B25" s="2">
        <v>38472</v>
      </c>
      <c r="C25" s="2" t="s">
        <v>80</v>
      </c>
      <c r="D25" s="5">
        <v>44936</v>
      </c>
      <c r="E25" s="2" t="s">
        <v>81</v>
      </c>
      <c r="F25" s="2" t="s">
        <v>82</v>
      </c>
      <c r="G25" s="2" t="s">
        <v>83</v>
      </c>
      <c r="H25" s="2" t="s">
        <v>68</v>
      </c>
      <c r="I25" s="2" t="s">
        <v>69</v>
      </c>
      <c r="J25" s="2" t="s">
        <v>41</v>
      </c>
      <c r="K25" s="2" t="s">
        <v>42</v>
      </c>
      <c r="L25" s="2" t="s">
        <v>71</v>
      </c>
      <c r="M25" s="2" t="s">
        <v>44</v>
      </c>
      <c r="N25" s="2" t="s">
        <v>33</v>
      </c>
      <c r="O25" s="6">
        <v>45918.448900462965</v>
      </c>
      <c r="P25" s="6">
        <v>2958465</v>
      </c>
      <c r="Q25" s="6">
        <v>45918.448900462965</v>
      </c>
      <c r="R25" s="6">
        <v>45918.448900462965</v>
      </c>
      <c r="S25" s="2" t="s">
        <v>5</v>
      </c>
      <c r="T25" s="6">
        <v>45918.448900462965</v>
      </c>
    </row>
    <row r="26" spans="1:20" x14ac:dyDescent="0.35">
      <c r="A26" s="2">
        <v>25</v>
      </c>
      <c r="B26" s="2">
        <v>39357</v>
      </c>
      <c r="C26" s="2" t="s">
        <v>84</v>
      </c>
      <c r="D26" s="5">
        <v>45147</v>
      </c>
      <c r="E26" s="2" t="s">
        <v>76</v>
      </c>
      <c r="F26" s="2" t="s">
        <v>77</v>
      </c>
      <c r="G26" s="2" t="s">
        <v>48</v>
      </c>
      <c r="H26" s="2" t="s">
        <v>49</v>
      </c>
      <c r="I26" s="2" t="s">
        <v>50</v>
      </c>
      <c r="J26" s="2" t="s">
        <v>41</v>
      </c>
      <c r="K26" s="2" t="s">
        <v>79</v>
      </c>
      <c r="L26" s="2" t="s">
        <v>51</v>
      </c>
      <c r="M26" s="2" t="s">
        <v>44</v>
      </c>
      <c r="N26" s="2" t="s">
        <v>33</v>
      </c>
      <c r="O26" s="6">
        <v>45918.448900462965</v>
      </c>
      <c r="P26" s="6">
        <v>2958465</v>
      </c>
      <c r="Q26" s="6">
        <v>45918.448900462965</v>
      </c>
      <c r="R26" s="6">
        <v>45918.448900462965</v>
      </c>
      <c r="S26" s="2" t="s">
        <v>5</v>
      </c>
      <c r="T26" s="6">
        <v>45918.448900462965</v>
      </c>
    </row>
    <row r="27" spans="1:20" x14ac:dyDescent="0.35">
      <c r="A27" s="2">
        <v>26</v>
      </c>
      <c r="B27" s="2">
        <v>39381</v>
      </c>
      <c r="C27" s="2" t="s">
        <v>85</v>
      </c>
      <c r="D27" s="5">
        <v>45169</v>
      </c>
      <c r="E27" s="2" t="s">
        <v>81</v>
      </c>
      <c r="F27" s="2" t="s">
        <v>82</v>
      </c>
      <c r="G27" s="2" t="s">
        <v>83</v>
      </c>
      <c r="H27" s="2" t="s">
        <v>68</v>
      </c>
      <c r="I27" s="2" t="s">
        <v>69</v>
      </c>
      <c r="J27" s="2" t="s">
        <v>41</v>
      </c>
      <c r="K27" s="2" t="s">
        <v>42</v>
      </c>
      <c r="L27" s="2" t="s">
        <v>71</v>
      </c>
      <c r="M27" s="2" t="s">
        <v>44</v>
      </c>
      <c r="N27" s="2" t="s">
        <v>33</v>
      </c>
      <c r="O27" s="6">
        <v>45918.448900462965</v>
      </c>
      <c r="P27" s="6">
        <v>2958465</v>
      </c>
      <c r="Q27" s="6">
        <v>45918.448900462965</v>
      </c>
      <c r="R27" s="6">
        <v>45918.448900462965</v>
      </c>
      <c r="S27" s="2" t="s">
        <v>5</v>
      </c>
      <c r="T27" s="6">
        <v>45918.448900462965</v>
      </c>
    </row>
    <row r="28" spans="1:20" x14ac:dyDescent="0.35">
      <c r="A28" s="2">
        <v>27</v>
      </c>
      <c r="B28" s="2">
        <v>47808</v>
      </c>
      <c r="C28" s="2" t="s">
        <v>86</v>
      </c>
      <c r="D28" s="5">
        <v>43161</v>
      </c>
      <c r="E28" s="2" t="s">
        <v>87</v>
      </c>
      <c r="F28" s="2" t="s">
        <v>88</v>
      </c>
      <c r="G28" s="2" t="s">
        <v>67</v>
      </c>
      <c r="H28" s="2" t="s">
        <v>68</v>
      </c>
      <c r="I28" s="2" t="s">
        <v>69</v>
      </c>
      <c r="J28" s="2" t="s">
        <v>41</v>
      </c>
      <c r="K28" s="2" t="s">
        <v>63</v>
      </c>
      <c r="L28" s="2" t="s">
        <v>71</v>
      </c>
      <c r="M28" s="2" t="s">
        <v>44</v>
      </c>
      <c r="N28" s="2" t="s">
        <v>33</v>
      </c>
      <c r="O28" s="6">
        <v>45918.448900462965</v>
      </c>
      <c r="P28" s="6">
        <v>2958465</v>
      </c>
      <c r="Q28" s="6">
        <v>45918.448900462965</v>
      </c>
      <c r="R28" s="6">
        <v>45918.448900462965</v>
      </c>
      <c r="S28" s="2" t="s">
        <v>5</v>
      </c>
      <c r="T28" s="6">
        <v>45918.448900462965</v>
      </c>
    </row>
    <row r="29" spans="1:20" x14ac:dyDescent="0.35">
      <c r="A29" s="2">
        <v>28</v>
      </c>
      <c r="B29" s="2">
        <v>49552</v>
      </c>
      <c r="C29" s="2" t="s">
        <v>89</v>
      </c>
      <c r="D29" s="5">
        <v>44033</v>
      </c>
      <c r="E29" s="2" t="s">
        <v>36</v>
      </c>
      <c r="F29" s="2" t="s">
        <v>37</v>
      </c>
      <c r="G29" s="2" t="s">
        <v>38</v>
      </c>
      <c r="H29" s="2" t="s">
        <v>39</v>
      </c>
      <c r="I29" s="2" t="s">
        <v>40</v>
      </c>
      <c r="J29" s="2" t="s">
        <v>41</v>
      </c>
      <c r="K29" s="2" t="s">
        <v>42</v>
      </c>
      <c r="L29" s="2" t="s">
        <v>43</v>
      </c>
      <c r="M29" s="2" t="s">
        <v>44</v>
      </c>
      <c r="N29" s="2" t="s">
        <v>33</v>
      </c>
      <c r="O29" s="6">
        <v>45918.448900462965</v>
      </c>
      <c r="P29" s="6">
        <v>2958465</v>
      </c>
      <c r="Q29" s="6">
        <v>45918.448900462965</v>
      </c>
      <c r="R29" s="6">
        <v>45918.448900462965</v>
      </c>
      <c r="S29" s="2" t="s">
        <v>5</v>
      </c>
      <c r="T29" s="6">
        <v>45918.448900462965</v>
      </c>
    </row>
    <row r="30" spans="1:20" x14ac:dyDescent="0.35">
      <c r="A30" s="2">
        <v>29</v>
      </c>
      <c r="B30" s="2">
        <v>50060</v>
      </c>
      <c r="C30" s="2" t="s">
        <v>90</v>
      </c>
      <c r="D30" s="5">
        <v>44276</v>
      </c>
      <c r="E30" s="2" t="s">
        <v>36</v>
      </c>
      <c r="F30" s="2" t="s">
        <v>37</v>
      </c>
      <c r="G30" s="2" t="s">
        <v>91</v>
      </c>
      <c r="H30" s="2" t="s">
        <v>92</v>
      </c>
      <c r="I30" s="2" t="s">
        <v>93</v>
      </c>
      <c r="J30" s="2" t="s">
        <v>41</v>
      </c>
      <c r="K30" s="2" t="s">
        <v>42</v>
      </c>
      <c r="L30" s="2" t="s">
        <v>43</v>
      </c>
      <c r="M30" s="2" t="s">
        <v>44</v>
      </c>
      <c r="N30" s="2" t="s">
        <v>33</v>
      </c>
      <c r="O30" s="6">
        <v>45918.448900462965</v>
      </c>
      <c r="P30" s="6">
        <v>2958465</v>
      </c>
      <c r="Q30" s="6">
        <v>45918.448900462965</v>
      </c>
      <c r="R30" s="6">
        <v>45918.448900462965</v>
      </c>
      <c r="S30" s="2" t="s">
        <v>5</v>
      </c>
      <c r="T30" s="6">
        <v>45918.448900462965</v>
      </c>
    </row>
    <row r="31" spans="1:20" x14ac:dyDescent="0.35">
      <c r="A31" s="2">
        <v>30</v>
      </c>
      <c r="B31" s="2">
        <v>50068</v>
      </c>
      <c r="C31" s="2" t="s">
        <v>94</v>
      </c>
      <c r="D31" s="5">
        <v>44305</v>
      </c>
      <c r="E31" s="2" t="s">
        <v>36</v>
      </c>
      <c r="F31" s="2" t="s">
        <v>37</v>
      </c>
      <c r="G31" s="2" t="s">
        <v>95</v>
      </c>
      <c r="H31" s="2" t="s">
        <v>96</v>
      </c>
      <c r="I31" s="2" t="s">
        <v>97</v>
      </c>
      <c r="J31" s="2" t="s">
        <v>41</v>
      </c>
      <c r="K31" s="2" t="s">
        <v>42</v>
      </c>
      <c r="L31" s="2" t="s">
        <v>43</v>
      </c>
      <c r="M31" s="2" t="s">
        <v>44</v>
      </c>
      <c r="N31" s="2" t="s">
        <v>33</v>
      </c>
      <c r="O31" s="6">
        <v>45918.448900462965</v>
      </c>
      <c r="P31" s="6">
        <v>2958465</v>
      </c>
      <c r="Q31" s="6">
        <v>45918.448900462965</v>
      </c>
      <c r="R31" s="6">
        <v>45918.448900462965</v>
      </c>
      <c r="S31" s="2" t="s">
        <v>5</v>
      </c>
      <c r="T31" s="6">
        <v>45918.448900462965</v>
      </c>
    </row>
    <row r="32" spans="1:20" x14ac:dyDescent="0.35">
      <c r="A32" s="2">
        <v>31</v>
      </c>
      <c r="B32" s="2">
        <v>51436</v>
      </c>
      <c r="C32" s="2" t="s">
        <v>98</v>
      </c>
      <c r="D32" s="5">
        <v>44963</v>
      </c>
      <c r="E32" s="2" t="s">
        <v>65</v>
      </c>
      <c r="F32" s="2" t="s">
        <v>66</v>
      </c>
      <c r="G32" s="2" t="s">
        <v>67</v>
      </c>
      <c r="H32" s="2" t="s">
        <v>68</v>
      </c>
      <c r="I32" s="2" t="s">
        <v>69</v>
      </c>
      <c r="J32" s="2" t="s">
        <v>41</v>
      </c>
      <c r="K32" s="2" t="s">
        <v>70</v>
      </c>
      <c r="L32" s="2" t="s">
        <v>71</v>
      </c>
      <c r="M32" s="2" t="s">
        <v>44</v>
      </c>
      <c r="N32" s="2" t="s">
        <v>33</v>
      </c>
      <c r="O32" s="6">
        <v>45918.448900462965</v>
      </c>
      <c r="P32" s="6">
        <v>2958465</v>
      </c>
      <c r="Q32" s="6">
        <v>45918.448900462965</v>
      </c>
      <c r="R32" s="6">
        <v>45918.448900462965</v>
      </c>
      <c r="S32" s="2" t="s">
        <v>5</v>
      </c>
      <c r="T32" s="6">
        <v>45918.448900462965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5C7CE-B9E5-4BE0-9EFF-FA50033789D6}">
  <dimension ref="A1:H12"/>
  <sheetViews>
    <sheetView topLeftCell="F1" workbookViewId="0">
      <selection activeCell="F1" sqref="F1"/>
    </sheetView>
  </sheetViews>
  <sheetFormatPr defaultRowHeight="14.5" x14ac:dyDescent="0.35"/>
  <cols>
    <col min="1" max="1" width="6.54296875" style="2" bestFit="1" customWidth="1"/>
    <col min="2" max="2" width="66.08984375" style="2" bestFit="1" customWidth="1"/>
    <col min="3" max="3" width="9.90625" style="2" bestFit="1" customWidth="1"/>
    <col min="4" max="4" width="15.36328125" style="2" bestFit="1" customWidth="1"/>
    <col min="5" max="5" width="12.36328125" style="2" bestFit="1" customWidth="1"/>
    <col min="6" max="6" width="12.26953125" style="2" bestFit="1" customWidth="1"/>
    <col min="7" max="7" width="24.08984375" style="2" bestFit="1" customWidth="1"/>
    <col min="8" max="8" width="22.26953125" style="2" bestFit="1" customWidth="1"/>
    <col min="9" max="16384" width="8.7265625" style="2"/>
  </cols>
  <sheetData>
    <row r="1" spans="1:8" ht="23.5" x14ac:dyDescent="0.35">
      <c r="A1" s="2" t="s">
        <v>523</v>
      </c>
      <c r="B1" s="2" t="s">
        <v>23</v>
      </c>
      <c r="C1" s="2" t="s">
        <v>477</v>
      </c>
      <c r="D1" s="2" t="s">
        <v>478</v>
      </c>
      <c r="E1" s="2" t="s">
        <v>479</v>
      </c>
      <c r="F1" s="1" t="s">
        <v>480</v>
      </c>
      <c r="G1" s="1" t="s">
        <v>481</v>
      </c>
      <c r="H1" s="1" t="s">
        <v>24</v>
      </c>
    </row>
    <row r="2" spans="1:8" x14ac:dyDescent="0.35">
      <c r="A2" s="2">
        <v>1</v>
      </c>
      <c r="B2" s="2" t="s">
        <v>26</v>
      </c>
      <c r="C2" s="2" t="s">
        <v>26</v>
      </c>
      <c r="D2" s="2" t="s">
        <v>26</v>
      </c>
      <c r="E2" s="2" t="s">
        <v>26</v>
      </c>
      <c r="F2" s="2" t="s">
        <v>26</v>
      </c>
      <c r="G2" s="2" t="s">
        <v>26</v>
      </c>
      <c r="H2" s="3">
        <v>45912.815889687503</v>
      </c>
    </row>
    <row r="3" spans="1:8" x14ac:dyDescent="0.35">
      <c r="A3" s="2">
        <v>2</v>
      </c>
      <c r="B3" s="2" t="s">
        <v>482</v>
      </c>
      <c r="C3" s="2" t="s">
        <v>483</v>
      </c>
      <c r="D3" s="2" t="s">
        <v>484</v>
      </c>
      <c r="E3" s="2" t="s">
        <v>485</v>
      </c>
      <c r="F3" s="2" t="s">
        <v>486</v>
      </c>
      <c r="G3" s="2" t="s">
        <v>487</v>
      </c>
      <c r="H3" s="3">
        <v>45913.4163944213</v>
      </c>
    </row>
    <row r="4" spans="1:8" x14ac:dyDescent="0.35">
      <c r="A4" s="2">
        <v>3</v>
      </c>
      <c r="B4" s="2" t="s">
        <v>488</v>
      </c>
      <c r="C4" s="2" t="s">
        <v>489</v>
      </c>
      <c r="D4" s="2" t="s">
        <v>484</v>
      </c>
      <c r="E4" s="2" t="s">
        <v>485</v>
      </c>
      <c r="F4" s="2" t="s">
        <v>490</v>
      </c>
      <c r="G4" s="2" t="s">
        <v>491</v>
      </c>
      <c r="H4" s="3">
        <v>45913.4163944213</v>
      </c>
    </row>
    <row r="5" spans="1:8" x14ac:dyDescent="0.35">
      <c r="A5" s="2">
        <v>4</v>
      </c>
      <c r="B5" s="2" t="s">
        <v>492</v>
      </c>
      <c r="C5" s="2" t="s">
        <v>493</v>
      </c>
      <c r="D5" s="2" t="s">
        <v>484</v>
      </c>
      <c r="E5" s="2" t="s">
        <v>485</v>
      </c>
      <c r="F5" s="2" t="s">
        <v>312</v>
      </c>
      <c r="G5" s="2" t="s">
        <v>494</v>
      </c>
      <c r="H5" s="3">
        <v>45913.4163944213</v>
      </c>
    </row>
    <row r="6" spans="1:8" x14ac:dyDescent="0.35">
      <c r="A6" s="2">
        <v>5</v>
      </c>
      <c r="B6" s="2" t="s">
        <v>495</v>
      </c>
      <c r="C6" s="2" t="s">
        <v>496</v>
      </c>
      <c r="D6" s="2" t="s">
        <v>497</v>
      </c>
      <c r="E6" s="2" t="s">
        <v>498</v>
      </c>
      <c r="F6" s="2" t="s">
        <v>499</v>
      </c>
      <c r="G6" s="2" t="s">
        <v>500</v>
      </c>
      <c r="H6" s="3">
        <v>45913.4163944213</v>
      </c>
    </row>
    <row r="7" spans="1:8" x14ac:dyDescent="0.35">
      <c r="A7" s="2">
        <v>6</v>
      </c>
      <c r="B7" s="2" t="s">
        <v>501</v>
      </c>
      <c r="C7" s="2" t="s">
        <v>502</v>
      </c>
      <c r="D7" s="2" t="s">
        <v>497</v>
      </c>
      <c r="E7" s="2" t="s">
        <v>503</v>
      </c>
      <c r="F7" s="2" t="s">
        <v>129</v>
      </c>
      <c r="G7" s="2" t="s">
        <v>504</v>
      </c>
      <c r="H7" s="3">
        <v>45913.4163944213</v>
      </c>
    </row>
    <row r="8" spans="1:8" x14ac:dyDescent="0.35">
      <c r="A8" s="2">
        <v>7</v>
      </c>
      <c r="B8" s="2" t="s">
        <v>505</v>
      </c>
      <c r="C8" s="2" t="s">
        <v>506</v>
      </c>
      <c r="D8" s="2" t="s">
        <v>484</v>
      </c>
      <c r="E8" s="2" t="s">
        <v>503</v>
      </c>
      <c r="F8" s="2" t="s">
        <v>507</v>
      </c>
      <c r="G8" s="2" t="s">
        <v>508</v>
      </c>
      <c r="H8" s="3">
        <v>45913.4163944213</v>
      </c>
    </row>
    <row r="9" spans="1:8" x14ac:dyDescent="0.35">
      <c r="A9" s="2">
        <v>8</v>
      </c>
      <c r="B9" s="2" t="s">
        <v>509</v>
      </c>
      <c r="C9" s="2" t="s">
        <v>510</v>
      </c>
      <c r="D9" s="2" t="s">
        <v>484</v>
      </c>
      <c r="E9" s="2" t="s">
        <v>485</v>
      </c>
      <c r="F9" s="2" t="s">
        <v>291</v>
      </c>
      <c r="G9" s="2" t="s">
        <v>511</v>
      </c>
      <c r="H9" s="3">
        <v>45913.4163944213</v>
      </c>
    </row>
    <row r="10" spans="1:8" x14ac:dyDescent="0.35">
      <c r="A10" s="2">
        <v>9</v>
      </c>
      <c r="B10" s="2" t="s">
        <v>512</v>
      </c>
      <c r="C10" s="2" t="s">
        <v>513</v>
      </c>
      <c r="D10" s="2" t="s">
        <v>484</v>
      </c>
      <c r="E10" s="2" t="s">
        <v>485</v>
      </c>
      <c r="F10" s="2" t="s">
        <v>514</v>
      </c>
      <c r="G10" s="2" t="s">
        <v>515</v>
      </c>
      <c r="H10" s="3">
        <v>45913.4163944213</v>
      </c>
    </row>
    <row r="11" spans="1:8" x14ac:dyDescent="0.35">
      <c r="A11" s="2">
        <v>10</v>
      </c>
      <c r="B11" s="2" t="s">
        <v>516</v>
      </c>
      <c r="C11" s="2" t="s">
        <v>517</v>
      </c>
      <c r="D11" s="2" t="s">
        <v>484</v>
      </c>
      <c r="E11" s="2" t="s">
        <v>503</v>
      </c>
      <c r="F11" s="2" t="s">
        <v>518</v>
      </c>
      <c r="G11" s="2" t="s">
        <v>519</v>
      </c>
      <c r="H11" s="3">
        <v>45913.4163944213</v>
      </c>
    </row>
    <row r="12" spans="1:8" x14ac:dyDescent="0.35">
      <c r="A12" s="2">
        <v>11</v>
      </c>
      <c r="B12" s="2" t="s">
        <v>520</v>
      </c>
      <c r="C12" s="2" t="s">
        <v>521</v>
      </c>
      <c r="D12" s="2" t="s">
        <v>497</v>
      </c>
      <c r="E12" s="2" t="s">
        <v>498</v>
      </c>
      <c r="F12" s="2" t="s">
        <v>287</v>
      </c>
      <c r="G12" s="2" t="s">
        <v>522</v>
      </c>
      <c r="H12" s="3">
        <v>45913.4163944213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A1582-33B0-4131-8C03-735D9195A9E9}">
  <dimension ref="A1:X101"/>
  <sheetViews>
    <sheetView topLeftCell="V1" workbookViewId="0">
      <selection activeCell="V1" sqref="V1"/>
    </sheetView>
  </sheetViews>
  <sheetFormatPr defaultRowHeight="14.5" x14ac:dyDescent="0.35"/>
  <cols>
    <col min="1" max="1" width="6.54296875" bestFit="1" customWidth="1"/>
    <col min="2" max="2" width="7.81640625" bestFit="1" customWidth="1"/>
    <col min="3" max="3" width="6.36328125" bestFit="1" customWidth="1"/>
    <col min="4" max="4" width="12" bestFit="1" customWidth="1"/>
    <col min="5" max="5" width="11.90625" bestFit="1" customWidth="1"/>
    <col min="6" max="6" width="9.453125" bestFit="1" customWidth="1"/>
    <col min="7" max="7" width="9" bestFit="1" customWidth="1"/>
    <col min="8" max="8" width="8.54296875" bestFit="1" customWidth="1"/>
    <col min="9" max="9" width="10.08984375" bestFit="1" customWidth="1"/>
    <col min="10" max="10" width="12.08984375" bestFit="1" customWidth="1"/>
    <col min="11" max="11" width="12.7265625" bestFit="1" customWidth="1"/>
    <col min="12" max="12" width="7.90625" bestFit="1" customWidth="1"/>
    <col min="13" max="13" width="15.08984375" bestFit="1" customWidth="1"/>
    <col min="14" max="14" width="3.26953125" bestFit="1" customWidth="1"/>
    <col min="15" max="15" width="8.81640625" bestFit="1" customWidth="1"/>
    <col min="16" max="16" width="5.453125" bestFit="1" customWidth="1"/>
    <col min="17" max="17" width="8.81640625" bestFit="1" customWidth="1"/>
    <col min="18" max="18" width="9.453125" bestFit="1" customWidth="1"/>
    <col min="19" max="19" width="11.26953125" bestFit="1" customWidth="1"/>
    <col min="20" max="20" width="9.90625" bestFit="1" customWidth="1"/>
    <col min="21" max="21" width="9" bestFit="1" customWidth="1"/>
    <col min="22" max="22" width="15.1796875" bestFit="1" customWidth="1"/>
    <col min="23" max="23" width="16.90625" bestFit="1" customWidth="1"/>
    <col min="24" max="24" width="14.54296875" bestFit="1" customWidth="1"/>
  </cols>
  <sheetData>
    <row r="1" spans="1:24" ht="23.5" x14ac:dyDescent="0.35">
      <c r="A1" s="2" t="s">
        <v>523</v>
      </c>
      <c r="B1" s="2" t="s">
        <v>524</v>
      </c>
      <c r="C1" s="2" t="s">
        <v>525</v>
      </c>
      <c r="D1" s="2" t="s">
        <v>526</v>
      </c>
      <c r="E1" s="2" t="s">
        <v>527</v>
      </c>
      <c r="F1" s="2" t="s">
        <v>528</v>
      </c>
      <c r="G1" s="2" t="s">
        <v>529</v>
      </c>
      <c r="H1" s="2" t="s">
        <v>530</v>
      </c>
      <c r="I1" s="2" t="s">
        <v>531</v>
      </c>
      <c r="J1" s="2" t="s">
        <v>532</v>
      </c>
      <c r="K1" s="2" t="s">
        <v>533</v>
      </c>
      <c r="L1" s="2" t="s">
        <v>534</v>
      </c>
      <c r="M1" s="2" t="s">
        <v>535</v>
      </c>
      <c r="N1" s="2" t="s">
        <v>536</v>
      </c>
      <c r="O1" s="2" t="s">
        <v>537</v>
      </c>
      <c r="P1" s="2" t="s">
        <v>538</v>
      </c>
      <c r="Q1" s="2" t="s">
        <v>539</v>
      </c>
      <c r="R1" s="2" t="s">
        <v>540</v>
      </c>
      <c r="S1" s="2" t="s">
        <v>541</v>
      </c>
      <c r="T1" s="2" t="s">
        <v>542</v>
      </c>
      <c r="U1" s="2" t="s">
        <v>543</v>
      </c>
      <c r="V1" s="1" t="s">
        <v>544</v>
      </c>
      <c r="W1" s="1" t="s">
        <v>556</v>
      </c>
      <c r="X1" s="1" t="s">
        <v>557</v>
      </c>
    </row>
    <row r="2" spans="1:24" x14ac:dyDescent="0.35">
      <c r="A2" s="2">
        <v>5</v>
      </c>
      <c r="B2" s="2">
        <v>2070881</v>
      </c>
      <c r="C2" s="2">
        <v>13</v>
      </c>
      <c r="D2" s="2">
        <v>6</v>
      </c>
      <c r="E2" s="2">
        <v>20240410</v>
      </c>
      <c r="F2" s="2">
        <v>202404</v>
      </c>
      <c r="G2" s="2" t="s">
        <v>545</v>
      </c>
      <c r="H2" s="2" t="s">
        <v>545</v>
      </c>
      <c r="I2" s="2"/>
      <c r="J2" s="2">
        <v>4200987238</v>
      </c>
      <c r="K2" s="2" t="s">
        <v>5</v>
      </c>
      <c r="L2" s="2" t="s">
        <v>546</v>
      </c>
      <c r="M2" s="6">
        <v>45863.549305555556</v>
      </c>
      <c r="N2" s="2">
        <v>1</v>
      </c>
      <c r="O2" s="2">
        <v>48476</v>
      </c>
      <c r="P2" s="2">
        <v>-3643</v>
      </c>
      <c r="Q2" s="2">
        <v>44833</v>
      </c>
      <c r="R2" s="2">
        <v>2242</v>
      </c>
      <c r="S2" s="2">
        <v>0</v>
      </c>
      <c r="T2" s="2">
        <v>11635</v>
      </c>
      <c r="U2" s="2">
        <v>310</v>
      </c>
      <c r="V2" s="2">
        <v>59020</v>
      </c>
      <c r="W2" s="2">
        <v>53</v>
      </c>
      <c r="X2" s="2">
        <v>7</v>
      </c>
    </row>
    <row r="3" spans="1:24" x14ac:dyDescent="0.35">
      <c r="A3" s="2">
        <v>5</v>
      </c>
      <c r="B3" s="2">
        <v>2247030</v>
      </c>
      <c r="C3" s="2">
        <v>15</v>
      </c>
      <c r="D3" s="2">
        <v>6</v>
      </c>
      <c r="E3" s="2">
        <v>20250515</v>
      </c>
      <c r="F3" s="2">
        <v>202505</v>
      </c>
      <c r="G3" s="2" t="s">
        <v>547</v>
      </c>
      <c r="H3" s="2" t="s">
        <v>547</v>
      </c>
      <c r="I3" s="2"/>
      <c r="J3" s="2">
        <v>4102818416</v>
      </c>
      <c r="K3" s="2" t="s">
        <v>5</v>
      </c>
      <c r="L3" s="2" t="s">
        <v>546</v>
      </c>
      <c r="M3" s="6">
        <v>45863.549305555556</v>
      </c>
      <c r="N3" s="2">
        <v>1</v>
      </c>
      <c r="O3" s="2">
        <v>93349</v>
      </c>
      <c r="P3" s="2">
        <v>-6837</v>
      </c>
      <c r="Q3" s="2">
        <v>86512</v>
      </c>
      <c r="R3" s="2">
        <v>6488</v>
      </c>
      <c r="S3" s="2">
        <v>0</v>
      </c>
      <c r="T3" s="2">
        <v>0</v>
      </c>
      <c r="U3" s="2">
        <v>0</v>
      </c>
      <c r="V3" s="2">
        <v>93000</v>
      </c>
      <c r="W3" s="2">
        <v>34</v>
      </c>
      <c r="X3" s="2">
        <v>16</v>
      </c>
    </row>
    <row r="4" spans="1:24" x14ac:dyDescent="0.35">
      <c r="A4" s="2">
        <v>2</v>
      </c>
      <c r="B4" s="2">
        <v>1324730</v>
      </c>
      <c r="C4" s="2">
        <v>9</v>
      </c>
      <c r="D4" s="2">
        <v>5</v>
      </c>
      <c r="E4" s="2">
        <v>20231210</v>
      </c>
      <c r="F4" s="2">
        <v>202312</v>
      </c>
      <c r="G4" s="2" t="s">
        <v>545</v>
      </c>
      <c r="H4" s="2" t="s">
        <v>545</v>
      </c>
      <c r="I4" s="2"/>
      <c r="J4" s="2">
        <v>4200961435</v>
      </c>
      <c r="K4" s="2" t="s">
        <v>5</v>
      </c>
      <c r="L4" s="2" t="s">
        <v>546</v>
      </c>
      <c r="M4" s="6">
        <v>45863.549305555556</v>
      </c>
      <c r="N4" s="2">
        <v>1</v>
      </c>
      <c r="O4" s="2">
        <v>61304</v>
      </c>
      <c r="P4" s="2">
        <v>0</v>
      </c>
      <c r="Q4" s="2">
        <v>61304</v>
      </c>
      <c r="R4" s="2">
        <v>9196</v>
      </c>
      <c r="S4" s="2">
        <v>0</v>
      </c>
      <c r="T4" s="2">
        <v>14715</v>
      </c>
      <c r="U4" s="2">
        <v>380</v>
      </c>
      <c r="V4" s="2">
        <v>85595</v>
      </c>
      <c r="W4" s="2">
        <v>74</v>
      </c>
      <c r="X4" s="2">
        <v>14</v>
      </c>
    </row>
    <row r="5" spans="1:24" x14ac:dyDescent="0.35">
      <c r="A5" s="2">
        <v>3</v>
      </c>
      <c r="B5" s="2">
        <v>1652643</v>
      </c>
      <c r="C5" s="2">
        <v>3</v>
      </c>
      <c r="D5" s="2">
        <v>4</v>
      </c>
      <c r="E5" s="2">
        <v>20230918</v>
      </c>
      <c r="F5" s="2">
        <v>202309</v>
      </c>
      <c r="G5" s="2" t="s">
        <v>548</v>
      </c>
      <c r="H5" s="2" t="s">
        <v>549</v>
      </c>
      <c r="I5" s="2"/>
      <c r="J5" s="2">
        <v>4600012538</v>
      </c>
      <c r="K5" s="2" t="s">
        <v>5</v>
      </c>
      <c r="L5" s="2" t="s">
        <v>546</v>
      </c>
      <c r="M5" s="6">
        <v>45863.549305555556</v>
      </c>
      <c r="N5" s="2">
        <v>1</v>
      </c>
      <c r="O5" s="2">
        <v>14178</v>
      </c>
      <c r="P5" s="2">
        <v>0</v>
      </c>
      <c r="Q5" s="2">
        <v>14178</v>
      </c>
      <c r="R5" s="2">
        <v>2127</v>
      </c>
      <c r="S5" s="2">
        <v>0</v>
      </c>
      <c r="T5" s="2">
        <v>0</v>
      </c>
      <c r="U5" s="2">
        <v>0</v>
      </c>
      <c r="V5" s="2">
        <v>16305</v>
      </c>
      <c r="W5" s="2">
        <v>42</v>
      </c>
      <c r="X5" s="2">
        <v>31</v>
      </c>
    </row>
    <row r="6" spans="1:24" x14ac:dyDescent="0.35">
      <c r="A6" s="2">
        <v>6</v>
      </c>
      <c r="B6" s="2">
        <v>1444635</v>
      </c>
      <c r="C6" s="2">
        <v>14</v>
      </c>
      <c r="D6" s="2">
        <v>6</v>
      </c>
      <c r="E6" s="2">
        <v>20250226</v>
      </c>
      <c r="F6" s="2">
        <v>202502</v>
      </c>
      <c r="G6" s="2" t="s">
        <v>545</v>
      </c>
      <c r="H6" s="2" t="s">
        <v>545</v>
      </c>
      <c r="I6" s="2"/>
      <c r="J6" s="2">
        <v>4201060641</v>
      </c>
      <c r="K6" s="2" t="s">
        <v>5</v>
      </c>
      <c r="L6" s="2" t="s">
        <v>546</v>
      </c>
      <c r="M6" s="6">
        <v>45863.549305555556</v>
      </c>
      <c r="N6" s="2">
        <v>1</v>
      </c>
      <c r="O6" s="2">
        <v>47163</v>
      </c>
      <c r="P6" s="2">
        <v>-1656</v>
      </c>
      <c r="Q6" s="2">
        <v>45507</v>
      </c>
      <c r="R6" s="2">
        <v>3413</v>
      </c>
      <c r="S6" s="2">
        <v>0</v>
      </c>
      <c r="T6" s="2">
        <v>11320</v>
      </c>
      <c r="U6" s="2">
        <v>300</v>
      </c>
      <c r="V6" s="2">
        <v>60540</v>
      </c>
      <c r="W6" s="2">
        <v>6</v>
      </c>
      <c r="X6" s="2">
        <v>7</v>
      </c>
    </row>
    <row r="7" spans="1:24" x14ac:dyDescent="0.35">
      <c r="A7" s="2">
        <v>3</v>
      </c>
      <c r="B7" s="2">
        <v>624957</v>
      </c>
      <c r="C7" s="2">
        <v>2</v>
      </c>
      <c r="D7" s="2">
        <v>1</v>
      </c>
      <c r="E7" s="2">
        <v>20240921</v>
      </c>
      <c r="F7" s="2">
        <v>202409</v>
      </c>
      <c r="G7" s="2" t="s">
        <v>548</v>
      </c>
      <c r="H7" s="2" t="s">
        <v>549</v>
      </c>
      <c r="I7" s="2"/>
      <c r="J7" s="2">
        <v>4600021598</v>
      </c>
      <c r="K7" s="2" t="s">
        <v>5</v>
      </c>
      <c r="L7" s="2" t="s">
        <v>546</v>
      </c>
      <c r="M7" s="6">
        <v>45863.549305555556</v>
      </c>
      <c r="N7" s="2">
        <v>1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15</v>
      </c>
      <c r="X7" s="2">
        <v>19</v>
      </c>
    </row>
    <row r="8" spans="1:24" x14ac:dyDescent="0.35">
      <c r="A8" s="2">
        <v>9</v>
      </c>
      <c r="B8" s="2">
        <v>229970</v>
      </c>
      <c r="C8" s="2">
        <v>14</v>
      </c>
      <c r="D8" s="2">
        <v>6</v>
      </c>
      <c r="E8" s="2">
        <v>20230731</v>
      </c>
      <c r="F8" s="2">
        <v>202307</v>
      </c>
      <c r="G8" s="2" t="s">
        <v>545</v>
      </c>
      <c r="H8" s="2" t="s">
        <v>545</v>
      </c>
      <c r="I8" s="2"/>
      <c r="J8" s="2">
        <v>4200936736</v>
      </c>
      <c r="K8" s="2" t="s">
        <v>5</v>
      </c>
      <c r="L8" s="2" t="s">
        <v>546</v>
      </c>
      <c r="M8" s="6">
        <v>45863.549305555556</v>
      </c>
      <c r="N8" s="2">
        <v>1</v>
      </c>
      <c r="O8" s="2">
        <v>44286</v>
      </c>
      <c r="P8" s="2">
        <v>0</v>
      </c>
      <c r="Q8" s="2">
        <v>44286</v>
      </c>
      <c r="R8" s="2">
        <v>2214</v>
      </c>
      <c r="S8" s="2">
        <v>0</v>
      </c>
      <c r="T8" s="2">
        <v>10630</v>
      </c>
      <c r="U8" s="2">
        <v>280</v>
      </c>
      <c r="V8" s="2">
        <v>57410</v>
      </c>
      <c r="W8" s="2">
        <v>64</v>
      </c>
      <c r="X8" s="2">
        <v>5</v>
      </c>
    </row>
    <row r="9" spans="1:24" x14ac:dyDescent="0.35">
      <c r="A9" s="2">
        <v>6</v>
      </c>
      <c r="B9" s="2">
        <v>2140790</v>
      </c>
      <c r="C9" s="2">
        <v>13</v>
      </c>
      <c r="D9" s="2">
        <v>6</v>
      </c>
      <c r="E9" s="2">
        <v>20240524</v>
      </c>
      <c r="F9" s="2">
        <v>202405</v>
      </c>
      <c r="G9" s="2" t="s">
        <v>547</v>
      </c>
      <c r="H9" s="2" t="s">
        <v>547</v>
      </c>
      <c r="I9" s="2"/>
      <c r="J9" s="2">
        <v>4102732395</v>
      </c>
      <c r="K9" s="2" t="s">
        <v>5</v>
      </c>
      <c r="L9" s="2" t="s">
        <v>546</v>
      </c>
      <c r="M9" s="6">
        <v>45863.549305555556</v>
      </c>
      <c r="N9" s="2">
        <v>1</v>
      </c>
      <c r="O9" s="2">
        <v>48476</v>
      </c>
      <c r="P9" s="2">
        <v>-3638</v>
      </c>
      <c r="Q9" s="2">
        <v>44838</v>
      </c>
      <c r="R9" s="2">
        <v>2242</v>
      </c>
      <c r="S9" s="2">
        <v>0</v>
      </c>
      <c r="T9" s="2">
        <v>0</v>
      </c>
      <c r="U9" s="2">
        <v>0</v>
      </c>
      <c r="V9" s="2">
        <v>47080</v>
      </c>
      <c r="W9" s="2">
        <v>65</v>
      </c>
      <c r="X9" s="2">
        <v>5</v>
      </c>
    </row>
    <row r="10" spans="1:24" x14ac:dyDescent="0.35">
      <c r="A10" s="2">
        <v>9</v>
      </c>
      <c r="B10" s="2">
        <v>1334681</v>
      </c>
      <c r="C10" s="2">
        <v>4</v>
      </c>
      <c r="D10" s="2">
        <v>6</v>
      </c>
      <c r="E10" s="2">
        <v>20250220</v>
      </c>
      <c r="F10" s="2">
        <v>202502</v>
      </c>
      <c r="G10" s="2" t="s">
        <v>545</v>
      </c>
      <c r="H10" s="2" t="s">
        <v>545</v>
      </c>
      <c r="I10" s="2"/>
      <c r="J10" s="2">
        <v>4201059565</v>
      </c>
      <c r="K10" s="2" t="s">
        <v>5</v>
      </c>
      <c r="L10" s="2" t="s">
        <v>546</v>
      </c>
      <c r="M10" s="6">
        <v>45863.549305555556</v>
      </c>
      <c r="N10" s="2">
        <v>1</v>
      </c>
      <c r="O10" s="2">
        <v>36651</v>
      </c>
      <c r="P10" s="2">
        <v>-1651</v>
      </c>
      <c r="Q10" s="2">
        <v>35000</v>
      </c>
      <c r="R10" s="2">
        <v>2625</v>
      </c>
      <c r="S10" s="2">
        <v>0</v>
      </c>
      <c r="T10" s="2">
        <v>8800</v>
      </c>
      <c r="U10" s="2">
        <v>230</v>
      </c>
      <c r="V10" s="2">
        <v>46655</v>
      </c>
      <c r="W10" s="2">
        <v>46</v>
      </c>
      <c r="X10" s="2">
        <v>13</v>
      </c>
    </row>
    <row r="11" spans="1:24" x14ac:dyDescent="0.35">
      <c r="A11" s="2">
        <v>6</v>
      </c>
      <c r="B11" s="2">
        <v>2201900</v>
      </c>
      <c r="C11" s="2">
        <v>13</v>
      </c>
      <c r="D11" s="2">
        <v>6</v>
      </c>
      <c r="E11" s="2">
        <v>20250507</v>
      </c>
      <c r="F11" s="2">
        <v>202505</v>
      </c>
      <c r="G11" s="2" t="s">
        <v>547</v>
      </c>
      <c r="H11" s="2" t="s">
        <v>547</v>
      </c>
      <c r="I11" s="2"/>
      <c r="J11" s="2">
        <v>4102815700</v>
      </c>
      <c r="K11" s="2" t="s">
        <v>5</v>
      </c>
      <c r="L11" s="2" t="s">
        <v>546</v>
      </c>
      <c r="M11" s="6">
        <v>45863.549305555556</v>
      </c>
      <c r="N11" s="2">
        <v>1</v>
      </c>
      <c r="O11" s="2">
        <v>48279</v>
      </c>
      <c r="P11" s="2">
        <v>-5023</v>
      </c>
      <c r="Q11" s="2">
        <v>43256</v>
      </c>
      <c r="R11" s="2">
        <v>3244</v>
      </c>
      <c r="S11" s="2">
        <v>0</v>
      </c>
      <c r="T11" s="2">
        <v>0</v>
      </c>
      <c r="U11" s="2">
        <v>0</v>
      </c>
      <c r="V11" s="2">
        <v>46500</v>
      </c>
      <c r="W11" s="2">
        <v>30</v>
      </c>
      <c r="X11" s="2">
        <v>26</v>
      </c>
    </row>
    <row r="12" spans="1:24" x14ac:dyDescent="0.35">
      <c r="A12" s="2">
        <v>3</v>
      </c>
      <c r="B12" s="2">
        <v>1553777</v>
      </c>
      <c r="C12" s="2">
        <v>2</v>
      </c>
      <c r="D12" s="2">
        <v>1</v>
      </c>
      <c r="E12" s="2">
        <v>20240427</v>
      </c>
      <c r="F12" s="2">
        <v>202404</v>
      </c>
      <c r="G12" s="2" t="s">
        <v>548</v>
      </c>
      <c r="H12" s="2" t="s">
        <v>549</v>
      </c>
      <c r="I12" s="2"/>
      <c r="J12" s="2">
        <v>4600015648</v>
      </c>
      <c r="K12" s="2" t="s">
        <v>5</v>
      </c>
      <c r="L12" s="2" t="s">
        <v>546</v>
      </c>
      <c r="M12" s="6">
        <v>45863.549305555556</v>
      </c>
      <c r="N12" s="2">
        <v>1</v>
      </c>
      <c r="O12" s="2">
        <v>2261</v>
      </c>
      <c r="P12" s="2">
        <v>0</v>
      </c>
      <c r="Q12" s="2">
        <v>2261</v>
      </c>
      <c r="R12" s="2">
        <v>339</v>
      </c>
      <c r="S12" s="2">
        <v>0</v>
      </c>
      <c r="T12" s="2">
        <v>0</v>
      </c>
      <c r="U12" s="2">
        <v>0</v>
      </c>
      <c r="V12" s="2">
        <v>2600</v>
      </c>
      <c r="W12" s="2">
        <v>70</v>
      </c>
      <c r="X12" s="2">
        <v>18</v>
      </c>
    </row>
    <row r="13" spans="1:24" x14ac:dyDescent="0.35">
      <c r="A13" s="2">
        <v>3</v>
      </c>
      <c r="B13" s="2">
        <v>1209786</v>
      </c>
      <c r="C13" s="2">
        <v>3</v>
      </c>
      <c r="D13" s="2">
        <v>4</v>
      </c>
      <c r="E13" s="2">
        <v>20240319</v>
      </c>
      <c r="F13" s="2">
        <v>202403</v>
      </c>
      <c r="G13" s="2" t="s">
        <v>548</v>
      </c>
      <c r="H13" s="2" t="s">
        <v>549</v>
      </c>
      <c r="I13" s="2"/>
      <c r="J13" s="2">
        <v>4600014967</v>
      </c>
      <c r="K13" s="2" t="s">
        <v>5</v>
      </c>
      <c r="L13" s="2" t="s">
        <v>546</v>
      </c>
      <c r="M13" s="6">
        <v>45863.549305555556</v>
      </c>
      <c r="N13" s="2">
        <v>1</v>
      </c>
      <c r="O13" s="2">
        <v>15043</v>
      </c>
      <c r="P13" s="2">
        <v>0</v>
      </c>
      <c r="Q13" s="2">
        <v>15043</v>
      </c>
      <c r="R13" s="2">
        <v>2257</v>
      </c>
      <c r="S13" s="2">
        <v>0</v>
      </c>
      <c r="T13" s="2">
        <v>0</v>
      </c>
      <c r="U13" s="2">
        <v>0</v>
      </c>
      <c r="V13" s="2">
        <v>17300</v>
      </c>
      <c r="W13" s="2">
        <v>100</v>
      </c>
      <c r="X13" s="2">
        <v>4</v>
      </c>
    </row>
    <row r="14" spans="1:24" x14ac:dyDescent="0.35">
      <c r="A14" s="2">
        <v>6</v>
      </c>
      <c r="B14" s="2">
        <v>65330</v>
      </c>
      <c r="C14" s="2">
        <v>7</v>
      </c>
      <c r="D14" s="2">
        <v>5</v>
      </c>
      <c r="E14" s="2">
        <v>20240604</v>
      </c>
      <c r="F14" s="2">
        <v>202406</v>
      </c>
      <c r="G14" s="2" t="s">
        <v>545</v>
      </c>
      <c r="H14" s="2" t="s">
        <v>545</v>
      </c>
      <c r="I14" s="2"/>
      <c r="J14" s="2">
        <v>4201008883</v>
      </c>
      <c r="K14" s="2" t="s">
        <v>5</v>
      </c>
      <c r="L14" s="2" t="s">
        <v>546</v>
      </c>
      <c r="M14" s="6">
        <v>45863.549305555556</v>
      </c>
      <c r="N14" s="2">
        <v>1</v>
      </c>
      <c r="O14" s="2">
        <v>70952</v>
      </c>
      <c r="P14" s="2">
        <v>-2485</v>
      </c>
      <c r="Q14" s="2">
        <v>68467</v>
      </c>
      <c r="R14" s="2">
        <v>3423</v>
      </c>
      <c r="S14" s="2">
        <v>0</v>
      </c>
      <c r="T14" s="2">
        <v>17030</v>
      </c>
      <c r="U14" s="2">
        <v>440</v>
      </c>
      <c r="V14" s="2">
        <v>89360</v>
      </c>
      <c r="W14" s="2">
        <v>28</v>
      </c>
      <c r="X14" s="2">
        <v>17</v>
      </c>
    </row>
    <row r="15" spans="1:24" x14ac:dyDescent="0.35">
      <c r="A15" s="2">
        <v>3</v>
      </c>
      <c r="B15" s="2">
        <v>1895574</v>
      </c>
      <c r="C15" s="2">
        <v>11</v>
      </c>
      <c r="D15" s="2">
        <v>7</v>
      </c>
      <c r="E15" s="2">
        <v>20230704</v>
      </c>
      <c r="F15" s="2">
        <v>202307</v>
      </c>
      <c r="G15" s="2" t="s">
        <v>548</v>
      </c>
      <c r="H15" s="2" t="s">
        <v>549</v>
      </c>
      <c r="I15" s="2"/>
      <c r="J15" s="2">
        <v>4600011525</v>
      </c>
      <c r="K15" s="2" t="s">
        <v>5</v>
      </c>
      <c r="L15" s="2" t="s">
        <v>546</v>
      </c>
      <c r="M15" s="6">
        <v>45863.549305555556</v>
      </c>
      <c r="N15" s="2">
        <v>1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21</v>
      </c>
      <c r="X15" s="2">
        <v>20</v>
      </c>
    </row>
    <row r="16" spans="1:24" x14ac:dyDescent="0.35">
      <c r="A16" s="2">
        <v>10</v>
      </c>
      <c r="B16" s="2">
        <v>2207937</v>
      </c>
      <c r="C16" s="2">
        <v>13</v>
      </c>
      <c r="D16" s="2">
        <v>6</v>
      </c>
      <c r="E16" s="2">
        <v>20250210</v>
      </c>
      <c r="F16" s="2">
        <v>202502</v>
      </c>
      <c r="G16" s="2" t="s">
        <v>545</v>
      </c>
      <c r="H16" s="2" t="s">
        <v>545</v>
      </c>
      <c r="I16" s="2"/>
      <c r="J16" s="2">
        <v>4201057303</v>
      </c>
      <c r="K16" s="2" t="s">
        <v>5</v>
      </c>
      <c r="L16" s="2" t="s">
        <v>546</v>
      </c>
      <c r="M16" s="6">
        <v>45863.549305555556</v>
      </c>
      <c r="N16" s="2">
        <v>1</v>
      </c>
      <c r="O16" s="2">
        <v>48279</v>
      </c>
      <c r="P16" s="2">
        <v>-1698</v>
      </c>
      <c r="Q16" s="2">
        <v>46581</v>
      </c>
      <c r="R16" s="2">
        <v>3494</v>
      </c>
      <c r="S16" s="2">
        <v>0</v>
      </c>
      <c r="T16" s="2">
        <v>11590</v>
      </c>
      <c r="U16" s="2">
        <v>300</v>
      </c>
      <c r="V16" s="2">
        <v>61965</v>
      </c>
      <c r="W16" s="2">
        <v>9</v>
      </c>
      <c r="X16" s="2">
        <v>22</v>
      </c>
    </row>
    <row r="17" spans="1:24" x14ac:dyDescent="0.35">
      <c r="A17" s="2">
        <v>3</v>
      </c>
      <c r="B17" s="2">
        <v>831638</v>
      </c>
      <c r="C17" s="2">
        <v>1</v>
      </c>
      <c r="D17" s="2">
        <v>2</v>
      </c>
      <c r="E17" s="2">
        <v>20250129</v>
      </c>
      <c r="F17" s="2">
        <v>202501</v>
      </c>
      <c r="G17" s="2" t="s">
        <v>548</v>
      </c>
      <c r="H17" s="2" t="s">
        <v>549</v>
      </c>
      <c r="I17" s="2"/>
      <c r="J17" s="2">
        <v>4600024824</v>
      </c>
      <c r="K17" s="2" t="s">
        <v>5</v>
      </c>
      <c r="L17" s="2" t="s">
        <v>546</v>
      </c>
      <c r="M17" s="6">
        <v>45863.549305555556</v>
      </c>
      <c r="N17" s="2">
        <v>1</v>
      </c>
      <c r="O17" s="2">
        <v>2783</v>
      </c>
      <c r="P17" s="2">
        <v>0</v>
      </c>
      <c r="Q17" s="2">
        <v>2783</v>
      </c>
      <c r="R17" s="2">
        <v>417</v>
      </c>
      <c r="S17" s="2">
        <v>0</v>
      </c>
      <c r="T17" s="2">
        <v>0</v>
      </c>
      <c r="U17" s="2">
        <v>0</v>
      </c>
      <c r="V17" s="2">
        <v>3200</v>
      </c>
      <c r="W17" s="2">
        <v>41</v>
      </c>
      <c r="X17" s="2">
        <v>23</v>
      </c>
    </row>
    <row r="18" spans="1:24" x14ac:dyDescent="0.35">
      <c r="A18" s="2">
        <v>7</v>
      </c>
      <c r="B18" s="2">
        <v>1938924</v>
      </c>
      <c r="C18" s="2">
        <v>6</v>
      </c>
      <c r="D18" s="2">
        <v>8</v>
      </c>
      <c r="E18" s="2">
        <v>20240416</v>
      </c>
      <c r="F18" s="2">
        <v>202404</v>
      </c>
      <c r="G18" s="2" t="s">
        <v>545</v>
      </c>
      <c r="H18" s="2" t="s">
        <v>545</v>
      </c>
      <c r="I18" s="2"/>
      <c r="J18" s="2">
        <v>4200988743</v>
      </c>
      <c r="K18" s="2" t="s">
        <v>5</v>
      </c>
      <c r="L18" s="2" t="s">
        <v>546</v>
      </c>
      <c r="M18" s="6">
        <v>45863.549305555556</v>
      </c>
      <c r="N18" s="2">
        <v>1</v>
      </c>
      <c r="O18" s="2">
        <v>63904</v>
      </c>
      <c r="P18" s="2">
        <v>-3839</v>
      </c>
      <c r="Q18" s="2">
        <v>60065</v>
      </c>
      <c r="R18" s="2">
        <v>9010</v>
      </c>
      <c r="S18" s="2">
        <v>0</v>
      </c>
      <c r="T18" s="2">
        <v>15340</v>
      </c>
      <c r="U18" s="2">
        <v>400</v>
      </c>
      <c r="V18" s="2">
        <v>84815</v>
      </c>
      <c r="W18" s="2">
        <v>61</v>
      </c>
      <c r="X18" s="2">
        <v>12</v>
      </c>
    </row>
    <row r="19" spans="1:24" x14ac:dyDescent="0.35">
      <c r="A19" s="2">
        <v>3</v>
      </c>
      <c r="B19" s="2">
        <v>404480</v>
      </c>
      <c r="C19" s="2">
        <v>10</v>
      </c>
      <c r="D19" s="2">
        <v>2</v>
      </c>
      <c r="E19" s="2">
        <v>20240512</v>
      </c>
      <c r="F19" s="2">
        <v>202405</v>
      </c>
      <c r="G19" s="2" t="s">
        <v>548</v>
      </c>
      <c r="H19" s="2" t="s">
        <v>549</v>
      </c>
      <c r="I19" s="2"/>
      <c r="J19" s="2">
        <v>4600017108</v>
      </c>
      <c r="K19" s="2" t="s">
        <v>5</v>
      </c>
      <c r="L19" s="2" t="s">
        <v>546</v>
      </c>
      <c r="M19" s="6">
        <v>45863.549305555556</v>
      </c>
      <c r="N19" s="2">
        <v>1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14</v>
      </c>
      <c r="X19" s="2">
        <v>17</v>
      </c>
    </row>
    <row r="20" spans="1:24" x14ac:dyDescent="0.35">
      <c r="A20" s="2">
        <v>3</v>
      </c>
      <c r="B20" s="2">
        <v>899769</v>
      </c>
      <c r="C20" s="2">
        <v>11</v>
      </c>
      <c r="D20" s="2">
        <v>7</v>
      </c>
      <c r="E20" s="2">
        <v>20240430</v>
      </c>
      <c r="F20" s="2">
        <v>202404</v>
      </c>
      <c r="G20" s="2" t="s">
        <v>548</v>
      </c>
      <c r="H20" s="2" t="s">
        <v>549</v>
      </c>
      <c r="I20" s="2"/>
      <c r="J20" s="2">
        <v>4600016004</v>
      </c>
      <c r="K20" s="2" t="s">
        <v>5</v>
      </c>
      <c r="L20" s="2" t="s">
        <v>546</v>
      </c>
      <c r="M20" s="6">
        <v>45863.549305555556</v>
      </c>
      <c r="N20" s="2">
        <v>1</v>
      </c>
      <c r="O20" s="2">
        <v>3217</v>
      </c>
      <c r="P20" s="2">
        <v>0</v>
      </c>
      <c r="Q20" s="2">
        <v>3217</v>
      </c>
      <c r="R20" s="2">
        <v>483</v>
      </c>
      <c r="S20" s="2">
        <v>0</v>
      </c>
      <c r="T20" s="2">
        <v>0</v>
      </c>
      <c r="U20" s="2">
        <v>0</v>
      </c>
      <c r="V20" s="2">
        <v>3700</v>
      </c>
      <c r="W20" s="2">
        <v>88</v>
      </c>
      <c r="X20" s="2">
        <v>21</v>
      </c>
    </row>
    <row r="21" spans="1:24" x14ac:dyDescent="0.35">
      <c r="A21" s="2">
        <v>1</v>
      </c>
      <c r="B21" s="2">
        <v>2179561</v>
      </c>
      <c r="C21" s="2">
        <v>7</v>
      </c>
      <c r="D21" s="2">
        <v>5</v>
      </c>
      <c r="E21" s="2">
        <v>20250208</v>
      </c>
      <c r="F21" s="2">
        <v>202502</v>
      </c>
      <c r="G21" s="2" t="s">
        <v>545</v>
      </c>
      <c r="H21" s="2" t="s">
        <v>545</v>
      </c>
      <c r="I21" s="2"/>
      <c r="J21" s="2">
        <v>4201056897</v>
      </c>
      <c r="K21" s="2" t="s">
        <v>5</v>
      </c>
      <c r="L21" s="2" t="s">
        <v>546</v>
      </c>
      <c r="M21" s="6">
        <v>45863.549305555556</v>
      </c>
      <c r="N21" s="2">
        <v>1</v>
      </c>
      <c r="O21" s="2">
        <v>72279</v>
      </c>
      <c r="P21" s="2">
        <v>-2535</v>
      </c>
      <c r="Q21" s="2">
        <v>69744</v>
      </c>
      <c r="R21" s="2">
        <v>5231</v>
      </c>
      <c r="S21" s="2">
        <v>0</v>
      </c>
      <c r="T21" s="2">
        <v>17350</v>
      </c>
      <c r="U21" s="2">
        <v>450</v>
      </c>
      <c r="V21" s="2">
        <v>92775</v>
      </c>
      <c r="W21" s="2">
        <v>68</v>
      </c>
      <c r="X21" s="2">
        <v>21</v>
      </c>
    </row>
    <row r="22" spans="1:24" x14ac:dyDescent="0.35">
      <c r="A22" s="2">
        <v>3</v>
      </c>
      <c r="B22" s="2">
        <v>1955639</v>
      </c>
      <c r="C22" s="2">
        <v>1</v>
      </c>
      <c r="D22" s="2">
        <v>2</v>
      </c>
      <c r="E22" s="2">
        <v>20250125</v>
      </c>
      <c r="F22" s="2">
        <v>202501</v>
      </c>
      <c r="G22" s="2" t="s">
        <v>548</v>
      </c>
      <c r="H22" s="2" t="s">
        <v>549</v>
      </c>
      <c r="I22" s="2"/>
      <c r="J22" s="2">
        <v>4600024619</v>
      </c>
      <c r="K22" s="2" t="s">
        <v>5</v>
      </c>
      <c r="L22" s="2" t="s">
        <v>546</v>
      </c>
      <c r="M22" s="6">
        <v>45863.549305555556</v>
      </c>
      <c r="N22" s="2">
        <v>1</v>
      </c>
      <c r="O22" s="2">
        <v>1565</v>
      </c>
      <c r="P22" s="2">
        <v>0</v>
      </c>
      <c r="Q22" s="2">
        <v>1565</v>
      </c>
      <c r="R22" s="2">
        <v>235</v>
      </c>
      <c r="S22" s="2">
        <v>0</v>
      </c>
      <c r="T22" s="2">
        <v>0</v>
      </c>
      <c r="U22" s="2">
        <v>0</v>
      </c>
      <c r="V22" s="2">
        <v>1800</v>
      </c>
      <c r="W22" s="2">
        <v>71</v>
      </c>
      <c r="X22" s="2">
        <v>4</v>
      </c>
    </row>
    <row r="23" spans="1:24" x14ac:dyDescent="0.35">
      <c r="A23" s="2">
        <v>3</v>
      </c>
      <c r="B23" s="2">
        <v>766414</v>
      </c>
      <c r="C23" s="2">
        <v>10</v>
      </c>
      <c r="D23" s="2">
        <v>2</v>
      </c>
      <c r="E23" s="2">
        <v>20240330</v>
      </c>
      <c r="F23" s="2">
        <v>202403</v>
      </c>
      <c r="G23" s="2" t="s">
        <v>548</v>
      </c>
      <c r="H23" s="2" t="s">
        <v>549</v>
      </c>
      <c r="I23" s="2"/>
      <c r="J23" s="2">
        <v>4600015124</v>
      </c>
      <c r="K23" s="2" t="s">
        <v>5</v>
      </c>
      <c r="L23" s="2" t="s">
        <v>546</v>
      </c>
      <c r="M23" s="6">
        <v>45863.549305555556</v>
      </c>
      <c r="N23" s="2">
        <v>1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27</v>
      </c>
      <c r="X23" s="2">
        <v>14</v>
      </c>
    </row>
    <row r="24" spans="1:24" x14ac:dyDescent="0.35">
      <c r="A24" s="2">
        <v>3</v>
      </c>
      <c r="B24" s="2">
        <v>1591485</v>
      </c>
      <c r="C24" s="2">
        <v>2</v>
      </c>
      <c r="D24" s="2">
        <v>1</v>
      </c>
      <c r="E24" s="2">
        <v>20241113</v>
      </c>
      <c r="F24" s="2">
        <v>202411</v>
      </c>
      <c r="G24" s="2" t="s">
        <v>548</v>
      </c>
      <c r="H24" s="2" t="s">
        <v>549</v>
      </c>
      <c r="I24" s="2"/>
      <c r="J24" s="2">
        <v>4600022828</v>
      </c>
      <c r="K24" s="2" t="s">
        <v>5</v>
      </c>
      <c r="L24" s="2" t="s">
        <v>546</v>
      </c>
      <c r="M24" s="6">
        <v>45863.549305555556</v>
      </c>
      <c r="N24" s="2">
        <v>1</v>
      </c>
      <c r="O24" s="2">
        <v>6087</v>
      </c>
      <c r="P24" s="2">
        <v>0</v>
      </c>
      <c r="Q24" s="2">
        <v>6087</v>
      </c>
      <c r="R24" s="2">
        <v>913</v>
      </c>
      <c r="S24" s="2">
        <v>0</v>
      </c>
      <c r="T24" s="2">
        <v>0</v>
      </c>
      <c r="U24" s="2">
        <v>0</v>
      </c>
      <c r="V24" s="2">
        <v>7000</v>
      </c>
      <c r="W24" s="2">
        <v>81</v>
      </c>
      <c r="X24" s="2">
        <v>22</v>
      </c>
    </row>
    <row r="25" spans="1:24" x14ac:dyDescent="0.35">
      <c r="A25" s="2">
        <v>6</v>
      </c>
      <c r="B25" s="2">
        <v>2245333</v>
      </c>
      <c r="C25" s="2">
        <v>6</v>
      </c>
      <c r="D25" s="2">
        <v>8</v>
      </c>
      <c r="E25" s="2">
        <v>20250409</v>
      </c>
      <c r="F25" s="2">
        <v>202504</v>
      </c>
      <c r="G25" s="2" t="s">
        <v>547</v>
      </c>
      <c r="H25" s="2" t="s">
        <v>547</v>
      </c>
      <c r="I25" s="2"/>
      <c r="J25" s="2">
        <v>4102807986</v>
      </c>
      <c r="K25" s="2" t="s">
        <v>5</v>
      </c>
      <c r="L25" s="2" t="s">
        <v>546</v>
      </c>
      <c r="M25" s="6">
        <v>45863.549305555556</v>
      </c>
      <c r="N25" s="2">
        <v>1</v>
      </c>
      <c r="O25" s="2">
        <v>65209</v>
      </c>
      <c r="P25" s="2">
        <v>-3261</v>
      </c>
      <c r="Q25" s="2">
        <v>61948</v>
      </c>
      <c r="R25" s="2">
        <v>9292</v>
      </c>
      <c r="S25" s="2">
        <v>0</v>
      </c>
      <c r="T25" s="2">
        <v>0</v>
      </c>
      <c r="U25" s="2">
        <v>0</v>
      </c>
      <c r="V25" s="2">
        <v>71240</v>
      </c>
      <c r="W25" s="2">
        <v>74</v>
      </c>
      <c r="X25" s="2">
        <v>16</v>
      </c>
    </row>
    <row r="26" spans="1:24" x14ac:dyDescent="0.35">
      <c r="A26" s="2">
        <v>3</v>
      </c>
      <c r="B26" s="2">
        <v>252208</v>
      </c>
      <c r="C26" s="2">
        <v>2</v>
      </c>
      <c r="D26" s="2">
        <v>1</v>
      </c>
      <c r="E26" s="2">
        <v>20240525</v>
      </c>
      <c r="F26" s="2">
        <v>202405</v>
      </c>
      <c r="G26" s="2" t="s">
        <v>548</v>
      </c>
      <c r="H26" s="2" t="s">
        <v>549</v>
      </c>
      <c r="I26" s="2"/>
      <c r="J26" s="2">
        <v>4600018691</v>
      </c>
      <c r="K26" s="2" t="s">
        <v>5</v>
      </c>
      <c r="L26" s="2" t="s">
        <v>546</v>
      </c>
      <c r="M26" s="6">
        <v>45863.549305555556</v>
      </c>
      <c r="N26" s="2">
        <v>1</v>
      </c>
      <c r="O26" s="2">
        <v>1739</v>
      </c>
      <c r="P26" s="2">
        <v>0</v>
      </c>
      <c r="Q26" s="2">
        <v>1739</v>
      </c>
      <c r="R26" s="2">
        <v>261</v>
      </c>
      <c r="S26" s="2">
        <v>0</v>
      </c>
      <c r="T26" s="2">
        <v>0</v>
      </c>
      <c r="U26" s="2">
        <v>0</v>
      </c>
      <c r="V26" s="2">
        <v>2000</v>
      </c>
      <c r="W26" s="2">
        <v>81</v>
      </c>
      <c r="X26" s="2">
        <v>17</v>
      </c>
    </row>
    <row r="27" spans="1:24" x14ac:dyDescent="0.35">
      <c r="A27" s="2">
        <v>3</v>
      </c>
      <c r="B27" s="2">
        <v>795222</v>
      </c>
      <c r="C27" s="2">
        <v>3</v>
      </c>
      <c r="D27" s="2">
        <v>4</v>
      </c>
      <c r="E27" s="2">
        <v>20230710</v>
      </c>
      <c r="F27" s="2">
        <v>202307</v>
      </c>
      <c r="G27" s="2" t="s">
        <v>548</v>
      </c>
      <c r="H27" s="2" t="s">
        <v>549</v>
      </c>
      <c r="I27" s="2"/>
      <c r="J27" s="2">
        <v>4600011647</v>
      </c>
      <c r="K27" s="2" t="s">
        <v>5</v>
      </c>
      <c r="L27" s="2" t="s">
        <v>546</v>
      </c>
      <c r="M27" s="6">
        <v>45863.549305555556</v>
      </c>
      <c r="N27" s="2">
        <v>1</v>
      </c>
      <c r="O27" s="2">
        <v>12435</v>
      </c>
      <c r="P27" s="2">
        <v>0</v>
      </c>
      <c r="Q27" s="2">
        <v>12435</v>
      </c>
      <c r="R27" s="2">
        <v>1865</v>
      </c>
      <c r="S27" s="2">
        <v>0</v>
      </c>
      <c r="T27" s="2">
        <v>0</v>
      </c>
      <c r="U27" s="2">
        <v>0</v>
      </c>
      <c r="V27" s="2">
        <v>14300</v>
      </c>
      <c r="W27" s="2">
        <v>53</v>
      </c>
      <c r="X27" s="2">
        <v>23</v>
      </c>
    </row>
    <row r="28" spans="1:24" x14ac:dyDescent="0.35">
      <c r="A28" s="2">
        <v>2</v>
      </c>
      <c r="B28" s="2">
        <v>2181621</v>
      </c>
      <c r="C28" s="2">
        <v>3</v>
      </c>
      <c r="D28" s="2">
        <v>4</v>
      </c>
      <c r="E28" s="2">
        <v>20250130</v>
      </c>
      <c r="F28" s="2">
        <v>202501</v>
      </c>
      <c r="G28" s="2" t="s">
        <v>547</v>
      </c>
      <c r="H28" s="2" t="s">
        <v>547</v>
      </c>
      <c r="I28" s="2"/>
      <c r="J28" s="2">
        <v>4102788960</v>
      </c>
      <c r="K28" s="2" t="s">
        <v>5</v>
      </c>
      <c r="L28" s="2" t="s">
        <v>546</v>
      </c>
      <c r="M28" s="6">
        <v>45863.549305555556</v>
      </c>
      <c r="N28" s="2">
        <v>1</v>
      </c>
      <c r="O28" s="2">
        <v>66000</v>
      </c>
      <c r="P28" s="2">
        <v>-6600</v>
      </c>
      <c r="Q28" s="2">
        <v>59400</v>
      </c>
      <c r="R28" s="2">
        <v>8910</v>
      </c>
      <c r="S28" s="2">
        <v>0</v>
      </c>
      <c r="T28" s="2">
        <v>0</v>
      </c>
      <c r="U28" s="2">
        <v>0</v>
      </c>
      <c r="V28" s="2">
        <v>68310</v>
      </c>
      <c r="W28" s="2">
        <v>50</v>
      </c>
      <c r="X28" s="2">
        <v>2</v>
      </c>
    </row>
    <row r="29" spans="1:24" x14ac:dyDescent="0.35">
      <c r="A29" s="2">
        <v>9</v>
      </c>
      <c r="B29" s="2">
        <v>1142490</v>
      </c>
      <c r="C29" s="2">
        <v>11</v>
      </c>
      <c r="D29" s="2">
        <v>7</v>
      </c>
      <c r="E29" s="2">
        <v>20240214</v>
      </c>
      <c r="F29" s="2">
        <v>202402</v>
      </c>
      <c r="G29" s="2" t="s">
        <v>545</v>
      </c>
      <c r="H29" s="2" t="s">
        <v>545</v>
      </c>
      <c r="I29" s="2"/>
      <c r="J29" s="2">
        <v>4200972012</v>
      </c>
      <c r="K29" s="2" t="s">
        <v>5</v>
      </c>
      <c r="L29" s="2" t="s">
        <v>546</v>
      </c>
      <c r="M29" s="6">
        <v>45863.549305555556</v>
      </c>
      <c r="N29" s="2">
        <v>1</v>
      </c>
      <c r="O29" s="2">
        <v>24870</v>
      </c>
      <c r="P29" s="2">
        <v>-1</v>
      </c>
      <c r="Q29" s="2">
        <v>24869</v>
      </c>
      <c r="R29" s="2">
        <v>3731</v>
      </c>
      <c r="S29" s="2">
        <v>0</v>
      </c>
      <c r="T29" s="2">
        <v>5970</v>
      </c>
      <c r="U29" s="2">
        <v>160</v>
      </c>
      <c r="V29" s="2">
        <v>34730</v>
      </c>
      <c r="W29" s="2">
        <v>59</v>
      </c>
      <c r="X29" s="2">
        <v>30</v>
      </c>
    </row>
    <row r="30" spans="1:24" x14ac:dyDescent="0.35">
      <c r="A30" s="2">
        <v>3</v>
      </c>
      <c r="B30" s="2">
        <v>525717</v>
      </c>
      <c r="C30" s="2">
        <v>11</v>
      </c>
      <c r="D30" s="2">
        <v>7</v>
      </c>
      <c r="E30" s="2">
        <v>20240403</v>
      </c>
      <c r="F30" s="2">
        <v>202404</v>
      </c>
      <c r="G30" s="2" t="s">
        <v>548</v>
      </c>
      <c r="H30" s="2" t="s">
        <v>549</v>
      </c>
      <c r="I30" s="2"/>
      <c r="J30" s="2">
        <v>4600015188</v>
      </c>
      <c r="K30" s="2" t="s">
        <v>5</v>
      </c>
      <c r="L30" s="2" t="s">
        <v>546</v>
      </c>
      <c r="M30" s="6">
        <v>45863.549305555556</v>
      </c>
      <c r="N30" s="2">
        <v>1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37</v>
      </c>
      <c r="X30" s="2">
        <v>15</v>
      </c>
    </row>
    <row r="31" spans="1:24" x14ac:dyDescent="0.35">
      <c r="A31" s="2">
        <v>9</v>
      </c>
      <c r="B31" s="2">
        <v>137927</v>
      </c>
      <c r="C31" s="2">
        <v>2</v>
      </c>
      <c r="D31" s="2">
        <v>1</v>
      </c>
      <c r="E31" s="2">
        <v>20231213</v>
      </c>
      <c r="F31" s="2">
        <v>202312</v>
      </c>
      <c r="G31" s="2" t="s">
        <v>547</v>
      </c>
      <c r="H31" s="2" t="s">
        <v>547</v>
      </c>
      <c r="I31" s="2"/>
      <c r="J31" s="2">
        <v>4102689576</v>
      </c>
      <c r="K31" s="2" t="s">
        <v>5</v>
      </c>
      <c r="L31" s="2" t="s">
        <v>546</v>
      </c>
      <c r="M31" s="6">
        <v>45863.549305555556</v>
      </c>
      <c r="N31" s="2">
        <v>1</v>
      </c>
      <c r="O31" s="2">
        <v>21652</v>
      </c>
      <c r="P31" s="2">
        <v>-1735</v>
      </c>
      <c r="Q31" s="2">
        <v>19917</v>
      </c>
      <c r="R31" s="2">
        <v>2988</v>
      </c>
      <c r="S31" s="2">
        <v>0</v>
      </c>
      <c r="T31" s="2">
        <v>0</v>
      </c>
      <c r="U31" s="2">
        <v>0</v>
      </c>
      <c r="V31" s="2">
        <v>22905</v>
      </c>
      <c r="W31" s="2">
        <v>25</v>
      </c>
      <c r="X31" s="2">
        <v>4</v>
      </c>
    </row>
    <row r="32" spans="1:24" x14ac:dyDescent="0.35">
      <c r="A32" s="2">
        <v>3</v>
      </c>
      <c r="B32" s="2">
        <v>1454442</v>
      </c>
      <c r="C32" s="2">
        <v>1</v>
      </c>
      <c r="D32" s="2">
        <v>2</v>
      </c>
      <c r="E32" s="2">
        <v>20250617</v>
      </c>
      <c r="F32" s="2">
        <v>202506</v>
      </c>
      <c r="G32" s="2" t="s">
        <v>548</v>
      </c>
      <c r="H32" s="2" t="s">
        <v>549</v>
      </c>
      <c r="I32" s="2"/>
      <c r="J32" s="2">
        <v>4600026758</v>
      </c>
      <c r="K32" s="2" t="s">
        <v>5</v>
      </c>
      <c r="L32" s="2" t="s">
        <v>546</v>
      </c>
      <c r="M32" s="6">
        <v>45863.549305555556</v>
      </c>
      <c r="N32" s="2">
        <v>1</v>
      </c>
      <c r="O32" s="2">
        <v>11130</v>
      </c>
      <c r="P32" s="2">
        <v>0</v>
      </c>
      <c r="Q32" s="2">
        <v>11130</v>
      </c>
      <c r="R32" s="2">
        <v>1670</v>
      </c>
      <c r="S32" s="2">
        <v>0</v>
      </c>
      <c r="T32" s="2">
        <v>0</v>
      </c>
      <c r="U32" s="2">
        <v>0</v>
      </c>
      <c r="V32" s="2">
        <v>12800</v>
      </c>
      <c r="W32" s="2">
        <v>82</v>
      </c>
      <c r="X32" s="2">
        <v>10</v>
      </c>
    </row>
    <row r="33" spans="1:24" x14ac:dyDescent="0.35">
      <c r="A33" s="2">
        <v>3</v>
      </c>
      <c r="B33" s="2">
        <v>2066322</v>
      </c>
      <c r="C33" s="2">
        <v>1</v>
      </c>
      <c r="D33" s="2">
        <v>2</v>
      </c>
      <c r="E33" s="2">
        <v>20250508</v>
      </c>
      <c r="F33" s="2">
        <v>202505</v>
      </c>
      <c r="G33" s="2" t="s">
        <v>548</v>
      </c>
      <c r="H33" s="2" t="s">
        <v>549</v>
      </c>
      <c r="I33" s="2"/>
      <c r="J33" s="2">
        <v>4600026430</v>
      </c>
      <c r="K33" s="2" t="s">
        <v>5</v>
      </c>
      <c r="L33" s="2" t="s">
        <v>546</v>
      </c>
      <c r="M33" s="6">
        <v>45863.549305555556</v>
      </c>
      <c r="N33" s="2">
        <v>1</v>
      </c>
      <c r="O33" s="2">
        <v>1565</v>
      </c>
      <c r="P33" s="2">
        <v>0</v>
      </c>
      <c r="Q33" s="2">
        <v>1565</v>
      </c>
      <c r="R33" s="2">
        <v>235</v>
      </c>
      <c r="S33" s="2">
        <v>0</v>
      </c>
      <c r="T33" s="2">
        <v>0</v>
      </c>
      <c r="U33" s="2">
        <v>0</v>
      </c>
      <c r="V33" s="2">
        <v>1800</v>
      </c>
      <c r="W33" s="2">
        <v>81</v>
      </c>
      <c r="X33" s="2">
        <v>25</v>
      </c>
    </row>
    <row r="34" spans="1:24" x14ac:dyDescent="0.35">
      <c r="A34" s="2">
        <v>8</v>
      </c>
      <c r="B34" s="2">
        <v>591394</v>
      </c>
      <c r="C34" s="2">
        <v>4</v>
      </c>
      <c r="D34" s="2">
        <v>6</v>
      </c>
      <c r="E34" s="2">
        <v>20250404</v>
      </c>
      <c r="F34" s="2">
        <v>202504</v>
      </c>
      <c r="G34" s="2" t="s">
        <v>547</v>
      </c>
      <c r="H34" s="2" t="s">
        <v>547</v>
      </c>
      <c r="I34" s="2"/>
      <c r="J34" s="2">
        <v>4102806355</v>
      </c>
      <c r="K34" s="2" t="s">
        <v>5</v>
      </c>
      <c r="L34" s="2" t="s">
        <v>546</v>
      </c>
      <c r="M34" s="6">
        <v>45863.549305555556</v>
      </c>
      <c r="N34" s="2">
        <v>1</v>
      </c>
      <c r="O34" s="2">
        <v>36651</v>
      </c>
      <c r="P34" s="2">
        <v>-2749</v>
      </c>
      <c r="Q34" s="2">
        <v>33902</v>
      </c>
      <c r="R34" s="2">
        <v>2543</v>
      </c>
      <c r="S34" s="2">
        <v>0</v>
      </c>
      <c r="T34" s="2">
        <v>0</v>
      </c>
      <c r="U34" s="2">
        <v>0</v>
      </c>
      <c r="V34" s="2">
        <v>36445</v>
      </c>
      <c r="W34" s="2">
        <v>96</v>
      </c>
      <c r="X34" s="2">
        <v>28</v>
      </c>
    </row>
    <row r="35" spans="1:24" x14ac:dyDescent="0.35">
      <c r="A35" s="2">
        <v>3</v>
      </c>
      <c r="B35" s="2">
        <v>370228</v>
      </c>
      <c r="C35" s="2">
        <v>1</v>
      </c>
      <c r="D35" s="2">
        <v>2</v>
      </c>
      <c r="E35" s="2">
        <v>20241106</v>
      </c>
      <c r="F35" s="2">
        <v>202411</v>
      </c>
      <c r="G35" s="2" t="s">
        <v>548</v>
      </c>
      <c r="H35" s="2" t="s">
        <v>549</v>
      </c>
      <c r="I35" s="2"/>
      <c r="J35" s="2">
        <v>4600022610</v>
      </c>
      <c r="K35" s="2" t="s">
        <v>5</v>
      </c>
      <c r="L35" s="2" t="s">
        <v>546</v>
      </c>
      <c r="M35" s="6">
        <v>45863.549305555556</v>
      </c>
      <c r="N35" s="2">
        <v>1</v>
      </c>
      <c r="O35" s="2">
        <v>1565</v>
      </c>
      <c r="P35" s="2">
        <v>0</v>
      </c>
      <c r="Q35" s="2">
        <v>1565</v>
      </c>
      <c r="R35" s="2">
        <v>235</v>
      </c>
      <c r="S35" s="2">
        <v>0</v>
      </c>
      <c r="T35" s="2">
        <v>0</v>
      </c>
      <c r="U35" s="2">
        <v>0</v>
      </c>
      <c r="V35" s="2">
        <v>1800</v>
      </c>
      <c r="W35" s="2">
        <v>55</v>
      </c>
      <c r="X35" s="2">
        <v>3</v>
      </c>
    </row>
    <row r="36" spans="1:24" x14ac:dyDescent="0.35">
      <c r="A36" s="2">
        <v>10</v>
      </c>
      <c r="B36" s="2">
        <v>519537</v>
      </c>
      <c r="C36" s="2">
        <v>8</v>
      </c>
      <c r="D36" s="2">
        <v>3</v>
      </c>
      <c r="E36" s="2">
        <v>20240417</v>
      </c>
      <c r="F36" s="2">
        <v>202404</v>
      </c>
      <c r="G36" s="2" t="s">
        <v>547</v>
      </c>
      <c r="H36" s="2" t="s">
        <v>547</v>
      </c>
      <c r="I36" s="2"/>
      <c r="J36" s="2">
        <v>4102719995</v>
      </c>
      <c r="K36" s="2" t="s">
        <v>5</v>
      </c>
      <c r="L36" s="2" t="s">
        <v>546</v>
      </c>
      <c r="M36" s="6">
        <v>45863.549305555556</v>
      </c>
      <c r="N36" s="2">
        <v>1</v>
      </c>
      <c r="O36" s="2">
        <v>118174</v>
      </c>
      <c r="P36" s="2">
        <v>-8866</v>
      </c>
      <c r="Q36" s="2">
        <v>109308</v>
      </c>
      <c r="R36" s="2">
        <v>16397</v>
      </c>
      <c r="S36" s="2">
        <v>0</v>
      </c>
      <c r="T36" s="2">
        <v>0</v>
      </c>
      <c r="U36" s="2">
        <v>0</v>
      </c>
      <c r="V36" s="2">
        <v>125705</v>
      </c>
      <c r="W36" s="2">
        <v>40</v>
      </c>
      <c r="X36" s="2">
        <v>17</v>
      </c>
    </row>
    <row r="37" spans="1:24" x14ac:dyDescent="0.35">
      <c r="A37" s="2">
        <v>9</v>
      </c>
      <c r="B37" s="2">
        <v>2149741</v>
      </c>
      <c r="C37" s="2">
        <v>4</v>
      </c>
      <c r="D37" s="2">
        <v>6</v>
      </c>
      <c r="E37" s="2">
        <v>20240612</v>
      </c>
      <c r="F37" s="2">
        <v>202406</v>
      </c>
      <c r="G37" s="2" t="s">
        <v>545</v>
      </c>
      <c r="H37" s="2" t="s">
        <v>545</v>
      </c>
      <c r="I37" s="2"/>
      <c r="J37" s="2">
        <v>4201013996</v>
      </c>
      <c r="K37" s="2" t="s">
        <v>5</v>
      </c>
      <c r="L37" s="2" t="s">
        <v>546</v>
      </c>
      <c r="M37" s="6">
        <v>45863.549305555556</v>
      </c>
      <c r="N37" s="2">
        <v>1</v>
      </c>
      <c r="O37" s="2">
        <v>36667</v>
      </c>
      <c r="P37" s="2">
        <v>-1286</v>
      </c>
      <c r="Q37" s="2">
        <v>35381</v>
      </c>
      <c r="R37" s="2">
        <v>1769</v>
      </c>
      <c r="S37" s="2">
        <v>0</v>
      </c>
      <c r="T37" s="2">
        <v>8805</v>
      </c>
      <c r="U37" s="2">
        <v>230</v>
      </c>
      <c r="V37" s="2">
        <v>46185</v>
      </c>
      <c r="W37" s="2">
        <v>78</v>
      </c>
      <c r="X37" s="2">
        <v>26</v>
      </c>
    </row>
    <row r="38" spans="1:24" x14ac:dyDescent="0.35">
      <c r="A38" s="2">
        <v>9</v>
      </c>
      <c r="B38" s="2">
        <v>2229739</v>
      </c>
      <c r="C38" s="2">
        <v>7</v>
      </c>
      <c r="D38" s="2">
        <v>5</v>
      </c>
      <c r="E38" s="2">
        <v>20250306</v>
      </c>
      <c r="F38" s="2">
        <v>202503</v>
      </c>
      <c r="G38" s="2" t="s">
        <v>547</v>
      </c>
      <c r="H38" s="2" t="s">
        <v>547</v>
      </c>
      <c r="I38" s="2"/>
      <c r="J38" s="2">
        <v>4102797574</v>
      </c>
      <c r="K38" s="2" t="s">
        <v>5</v>
      </c>
      <c r="L38" s="2" t="s">
        <v>546</v>
      </c>
      <c r="M38" s="6">
        <v>45863.549305555556</v>
      </c>
      <c r="N38" s="2">
        <v>1</v>
      </c>
      <c r="O38" s="2">
        <v>72279</v>
      </c>
      <c r="P38" s="2">
        <v>-6326</v>
      </c>
      <c r="Q38" s="2">
        <v>65953</v>
      </c>
      <c r="R38" s="2">
        <v>4947</v>
      </c>
      <c r="S38" s="2">
        <v>0</v>
      </c>
      <c r="T38" s="2">
        <v>0</v>
      </c>
      <c r="U38" s="2">
        <v>0</v>
      </c>
      <c r="V38" s="2">
        <v>70900</v>
      </c>
      <c r="W38" s="2">
        <v>46</v>
      </c>
      <c r="X38" s="2">
        <v>17</v>
      </c>
    </row>
    <row r="39" spans="1:24" x14ac:dyDescent="0.35">
      <c r="A39" s="2">
        <v>3</v>
      </c>
      <c r="B39" s="2">
        <v>1923127</v>
      </c>
      <c r="C39" s="2">
        <v>10</v>
      </c>
      <c r="D39" s="2">
        <v>2</v>
      </c>
      <c r="E39" s="2">
        <v>20240505</v>
      </c>
      <c r="F39" s="2">
        <v>202405</v>
      </c>
      <c r="G39" s="2" t="s">
        <v>548</v>
      </c>
      <c r="H39" s="2" t="s">
        <v>549</v>
      </c>
      <c r="I39" s="2"/>
      <c r="J39" s="2">
        <v>4600016278</v>
      </c>
      <c r="K39" s="2" t="s">
        <v>5</v>
      </c>
      <c r="L39" s="2" t="s">
        <v>546</v>
      </c>
      <c r="M39" s="6">
        <v>45863.549305555556</v>
      </c>
      <c r="N39" s="2">
        <v>1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11</v>
      </c>
      <c r="X39" s="2">
        <v>16</v>
      </c>
    </row>
    <row r="40" spans="1:24" x14ac:dyDescent="0.35">
      <c r="A40" s="2">
        <v>6</v>
      </c>
      <c r="B40" s="2">
        <v>2159098</v>
      </c>
      <c r="C40" s="2">
        <v>15</v>
      </c>
      <c r="D40" s="2">
        <v>6</v>
      </c>
      <c r="E40" s="2">
        <v>20240620</v>
      </c>
      <c r="F40" s="2">
        <v>202406</v>
      </c>
      <c r="G40" s="2" t="s">
        <v>547</v>
      </c>
      <c r="H40" s="2" t="s">
        <v>547</v>
      </c>
      <c r="I40" s="2"/>
      <c r="J40" s="2">
        <v>4102749642</v>
      </c>
      <c r="K40" s="2" t="s">
        <v>5</v>
      </c>
      <c r="L40" s="2" t="s">
        <v>546</v>
      </c>
      <c r="M40" s="6">
        <v>45863.549305555556</v>
      </c>
      <c r="N40" s="2">
        <v>1</v>
      </c>
      <c r="O40" s="2">
        <v>93333</v>
      </c>
      <c r="P40" s="2">
        <v>-7000</v>
      </c>
      <c r="Q40" s="2">
        <v>86333</v>
      </c>
      <c r="R40" s="2">
        <v>4317</v>
      </c>
      <c r="S40" s="2">
        <v>0</v>
      </c>
      <c r="T40" s="2">
        <v>0</v>
      </c>
      <c r="U40" s="2">
        <v>0</v>
      </c>
      <c r="V40" s="2">
        <v>90650</v>
      </c>
      <c r="W40" s="2">
        <v>53</v>
      </c>
      <c r="X40" s="2">
        <v>22</v>
      </c>
    </row>
    <row r="41" spans="1:24" x14ac:dyDescent="0.35">
      <c r="A41" s="2">
        <v>4</v>
      </c>
      <c r="B41" s="2">
        <v>2229017</v>
      </c>
      <c r="C41" s="2">
        <v>13</v>
      </c>
      <c r="D41" s="2">
        <v>6</v>
      </c>
      <c r="E41" s="2">
        <v>20250612</v>
      </c>
      <c r="F41" s="2">
        <v>202506</v>
      </c>
      <c r="G41" s="2" t="s">
        <v>547</v>
      </c>
      <c r="H41" s="2" t="s">
        <v>547</v>
      </c>
      <c r="I41" s="2"/>
      <c r="J41" s="2">
        <v>4102835327</v>
      </c>
      <c r="K41" s="2" t="s">
        <v>5</v>
      </c>
      <c r="L41" s="2" t="s">
        <v>546</v>
      </c>
      <c r="M41" s="6">
        <v>45863.549305555556</v>
      </c>
      <c r="N41" s="2">
        <v>1</v>
      </c>
      <c r="O41" s="2">
        <v>48279</v>
      </c>
      <c r="P41" s="2">
        <v>-5023</v>
      </c>
      <c r="Q41" s="2">
        <v>43256</v>
      </c>
      <c r="R41" s="2">
        <v>3244</v>
      </c>
      <c r="S41" s="2">
        <v>0</v>
      </c>
      <c r="T41" s="2">
        <v>0</v>
      </c>
      <c r="U41" s="2">
        <v>0</v>
      </c>
      <c r="V41" s="2">
        <v>46500</v>
      </c>
      <c r="W41" s="2">
        <v>49</v>
      </c>
      <c r="X41" s="2">
        <v>18</v>
      </c>
    </row>
    <row r="42" spans="1:24" x14ac:dyDescent="0.35">
      <c r="A42" s="2">
        <v>3</v>
      </c>
      <c r="B42" s="2">
        <v>1168251</v>
      </c>
      <c r="C42" s="2">
        <v>10</v>
      </c>
      <c r="D42" s="2">
        <v>2</v>
      </c>
      <c r="E42" s="2">
        <v>20240523</v>
      </c>
      <c r="F42" s="2">
        <v>202405</v>
      </c>
      <c r="G42" s="2" t="s">
        <v>548</v>
      </c>
      <c r="H42" s="2" t="s">
        <v>549</v>
      </c>
      <c r="I42" s="2"/>
      <c r="J42" s="2">
        <v>4600018541</v>
      </c>
      <c r="K42" s="2" t="s">
        <v>5</v>
      </c>
      <c r="L42" s="2" t="s">
        <v>546</v>
      </c>
      <c r="M42" s="6">
        <v>45863.549305555556</v>
      </c>
      <c r="N42" s="2">
        <v>1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55</v>
      </c>
      <c r="X42" s="2">
        <v>26</v>
      </c>
    </row>
    <row r="43" spans="1:24" x14ac:dyDescent="0.35">
      <c r="A43" s="2">
        <v>4</v>
      </c>
      <c r="B43" s="2">
        <v>2214384</v>
      </c>
      <c r="C43" s="2">
        <v>4</v>
      </c>
      <c r="D43" s="2">
        <v>6</v>
      </c>
      <c r="E43" s="2">
        <v>20241001</v>
      </c>
      <c r="F43" s="2">
        <v>202410</v>
      </c>
      <c r="G43" s="2" t="s">
        <v>547</v>
      </c>
      <c r="H43" s="2" t="s">
        <v>547</v>
      </c>
      <c r="I43" s="2"/>
      <c r="J43" s="2">
        <v>4102768602</v>
      </c>
      <c r="K43" s="2" t="s">
        <v>5</v>
      </c>
      <c r="L43" s="2" t="s">
        <v>546</v>
      </c>
      <c r="M43" s="6">
        <v>45863.549305555556</v>
      </c>
      <c r="N43" s="2">
        <v>1</v>
      </c>
      <c r="O43" s="2">
        <v>36667</v>
      </c>
      <c r="P43" s="2">
        <v>-1834</v>
      </c>
      <c r="Q43" s="2">
        <v>34833</v>
      </c>
      <c r="R43" s="2">
        <v>1742</v>
      </c>
      <c r="S43" s="2">
        <v>0</v>
      </c>
      <c r="T43" s="2">
        <v>0</v>
      </c>
      <c r="U43" s="2">
        <v>0</v>
      </c>
      <c r="V43" s="2">
        <v>36575</v>
      </c>
      <c r="W43" s="2">
        <v>99</v>
      </c>
      <c r="X43" s="2">
        <v>9</v>
      </c>
    </row>
    <row r="44" spans="1:24" x14ac:dyDescent="0.35">
      <c r="A44" s="2">
        <v>3</v>
      </c>
      <c r="B44" s="2">
        <v>556728</v>
      </c>
      <c r="C44" s="2">
        <v>1</v>
      </c>
      <c r="D44" s="2">
        <v>2</v>
      </c>
      <c r="E44" s="2">
        <v>20241229</v>
      </c>
      <c r="F44" s="2">
        <v>202412</v>
      </c>
      <c r="G44" s="2" t="s">
        <v>548</v>
      </c>
      <c r="H44" s="2" t="s">
        <v>549</v>
      </c>
      <c r="I44" s="2"/>
      <c r="J44" s="2">
        <v>4600023732</v>
      </c>
      <c r="K44" s="2" t="s">
        <v>5</v>
      </c>
      <c r="L44" s="2" t="s">
        <v>546</v>
      </c>
      <c r="M44" s="6">
        <v>45863.549305555556</v>
      </c>
      <c r="N44" s="2">
        <v>1</v>
      </c>
      <c r="O44" s="2">
        <v>1565</v>
      </c>
      <c r="P44" s="2">
        <v>0</v>
      </c>
      <c r="Q44" s="2">
        <v>1565</v>
      </c>
      <c r="R44" s="2">
        <v>235</v>
      </c>
      <c r="S44" s="2">
        <v>0</v>
      </c>
      <c r="T44" s="2">
        <v>0</v>
      </c>
      <c r="U44" s="2">
        <v>0</v>
      </c>
      <c r="V44" s="2">
        <v>1800</v>
      </c>
      <c r="W44" s="2">
        <v>30</v>
      </c>
      <c r="X44" s="2">
        <v>17</v>
      </c>
    </row>
    <row r="45" spans="1:24" x14ac:dyDescent="0.35">
      <c r="A45" s="2">
        <v>3</v>
      </c>
      <c r="B45" s="2">
        <v>1729648</v>
      </c>
      <c r="C45" s="2">
        <v>2</v>
      </c>
      <c r="D45" s="2">
        <v>1</v>
      </c>
      <c r="E45" s="2">
        <v>20240109</v>
      </c>
      <c r="F45" s="2">
        <v>202401</v>
      </c>
      <c r="G45" s="2" t="s">
        <v>548</v>
      </c>
      <c r="H45" s="2" t="s">
        <v>549</v>
      </c>
      <c r="I45" s="2"/>
      <c r="J45" s="2">
        <v>4600014052</v>
      </c>
      <c r="K45" s="2" t="s">
        <v>5</v>
      </c>
      <c r="L45" s="2" t="s">
        <v>546</v>
      </c>
      <c r="M45" s="6">
        <v>45863.549305555556</v>
      </c>
      <c r="N45" s="2">
        <v>1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62</v>
      </c>
      <c r="X45" s="2">
        <v>27</v>
      </c>
    </row>
    <row r="46" spans="1:24" x14ac:dyDescent="0.35">
      <c r="A46" s="2">
        <v>8</v>
      </c>
      <c r="B46" s="2">
        <v>2223910</v>
      </c>
      <c r="C46" s="2">
        <v>13</v>
      </c>
      <c r="D46" s="2">
        <v>6</v>
      </c>
      <c r="E46" s="2">
        <v>20250501</v>
      </c>
      <c r="F46" s="2">
        <v>202505</v>
      </c>
      <c r="G46" s="2" t="s">
        <v>545</v>
      </c>
      <c r="H46" s="2" t="s">
        <v>545</v>
      </c>
      <c r="I46" s="2"/>
      <c r="J46" s="2">
        <v>4201077627</v>
      </c>
      <c r="K46" s="2" t="s">
        <v>5</v>
      </c>
      <c r="L46" s="2" t="s">
        <v>546</v>
      </c>
      <c r="M46" s="6">
        <v>45863.549305555556</v>
      </c>
      <c r="N46" s="2">
        <v>1</v>
      </c>
      <c r="O46" s="2">
        <v>48279</v>
      </c>
      <c r="P46" s="2">
        <v>-2791</v>
      </c>
      <c r="Q46" s="2">
        <v>45488</v>
      </c>
      <c r="R46" s="2">
        <v>3412</v>
      </c>
      <c r="S46" s="2">
        <v>0</v>
      </c>
      <c r="T46" s="2">
        <v>11590</v>
      </c>
      <c r="U46" s="2">
        <v>300</v>
      </c>
      <c r="V46" s="2">
        <v>60790</v>
      </c>
      <c r="W46" s="2">
        <v>55</v>
      </c>
      <c r="X46" s="2">
        <v>31</v>
      </c>
    </row>
    <row r="47" spans="1:24" x14ac:dyDescent="0.35">
      <c r="A47" s="2">
        <v>3</v>
      </c>
      <c r="B47" s="2">
        <v>1513451</v>
      </c>
      <c r="C47" s="2">
        <v>1</v>
      </c>
      <c r="D47" s="2">
        <v>2</v>
      </c>
      <c r="E47" s="2">
        <v>20241106</v>
      </c>
      <c r="F47" s="2">
        <v>202411</v>
      </c>
      <c r="G47" s="2" t="s">
        <v>548</v>
      </c>
      <c r="H47" s="2" t="s">
        <v>549</v>
      </c>
      <c r="I47" s="2"/>
      <c r="J47" s="2">
        <v>4600022624</v>
      </c>
      <c r="K47" s="2" t="s">
        <v>5</v>
      </c>
      <c r="L47" s="2" t="s">
        <v>546</v>
      </c>
      <c r="M47" s="6">
        <v>45863.549305555556</v>
      </c>
      <c r="N47" s="2">
        <v>1</v>
      </c>
      <c r="O47" s="2">
        <v>1565</v>
      </c>
      <c r="P47" s="2">
        <v>0</v>
      </c>
      <c r="Q47" s="2">
        <v>1565</v>
      </c>
      <c r="R47" s="2">
        <v>235</v>
      </c>
      <c r="S47" s="2">
        <v>0</v>
      </c>
      <c r="T47" s="2">
        <v>0</v>
      </c>
      <c r="U47" s="2">
        <v>0</v>
      </c>
      <c r="V47" s="2">
        <v>1800</v>
      </c>
      <c r="W47" s="2">
        <v>15</v>
      </c>
      <c r="X47" s="2">
        <v>8</v>
      </c>
    </row>
    <row r="48" spans="1:24" x14ac:dyDescent="0.35">
      <c r="A48" s="2">
        <v>9</v>
      </c>
      <c r="B48" s="2">
        <v>2099949</v>
      </c>
      <c r="C48" s="2">
        <v>11</v>
      </c>
      <c r="D48" s="2">
        <v>7</v>
      </c>
      <c r="E48" s="2">
        <v>20231209</v>
      </c>
      <c r="F48" s="2">
        <v>202312</v>
      </c>
      <c r="G48" s="2" t="s">
        <v>547</v>
      </c>
      <c r="H48" s="2" t="s">
        <v>550</v>
      </c>
      <c r="I48" s="2"/>
      <c r="J48" s="2">
        <v>4102688595</v>
      </c>
      <c r="K48" s="2" t="s">
        <v>5</v>
      </c>
      <c r="L48" s="2" t="s">
        <v>546</v>
      </c>
      <c r="M48" s="6">
        <v>45863.549305555556</v>
      </c>
      <c r="N48" s="2">
        <v>1</v>
      </c>
      <c r="O48" s="2">
        <v>23391</v>
      </c>
      <c r="P48" s="2">
        <v>-2</v>
      </c>
      <c r="Q48" s="2">
        <v>23389</v>
      </c>
      <c r="R48" s="2">
        <v>3509</v>
      </c>
      <c r="S48" s="2">
        <v>3766</v>
      </c>
      <c r="T48" s="2">
        <v>0</v>
      </c>
      <c r="U48" s="2">
        <v>0</v>
      </c>
      <c r="V48" s="2">
        <v>30664</v>
      </c>
      <c r="W48" s="2">
        <v>54</v>
      </c>
      <c r="X48" s="2">
        <v>12</v>
      </c>
    </row>
    <row r="49" spans="1:24" x14ac:dyDescent="0.35">
      <c r="A49" s="2">
        <v>3</v>
      </c>
      <c r="B49" s="2">
        <v>72789</v>
      </c>
      <c r="C49" s="2">
        <v>11</v>
      </c>
      <c r="D49" s="2">
        <v>7</v>
      </c>
      <c r="E49" s="2">
        <v>20240425</v>
      </c>
      <c r="F49" s="2">
        <v>202404</v>
      </c>
      <c r="G49" s="2" t="s">
        <v>548</v>
      </c>
      <c r="H49" s="2" t="s">
        <v>549</v>
      </c>
      <c r="I49" s="2"/>
      <c r="J49" s="2">
        <v>4600015580</v>
      </c>
      <c r="K49" s="2" t="s">
        <v>5</v>
      </c>
      <c r="L49" s="2" t="s">
        <v>546</v>
      </c>
      <c r="M49" s="6">
        <v>45863.549305555556</v>
      </c>
      <c r="N49" s="2">
        <v>1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58</v>
      </c>
      <c r="X49" s="2">
        <v>15</v>
      </c>
    </row>
    <row r="50" spans="1:24" x14ac:dyDescent="0.35">
      <c r="A50" s="2">
        <v>3</v>
      </c>
      <c r="B50" s="2">
        <v>837403</v>
      </c>
      <c r="C50" s="2">
        <v>10</v>
      </c>
      <c r="D50" s="2">
        <v>2</v>
      </c>
      <c r="E50" s="2">
        <v>20240506</v>
      </c>
      <c r="F50" s="2">
        <v>202405</v>
      </c>
      <c r="G50" s="2" t="s">
        <v>548</v>
      </c>
      <c r="H50" s="2" t="s">
        <v>549</v>
      </c>
      <c r="I50" s="2"/>
      <c r="J50" s="2">
        <v>4600016470</v>
      </c>
      <c r="K50" s="2" t="s">
        <v>5</v>
      </c>
      <c r="L50" s="2" t="s">
        <v>546</v>
      </c>
      <c r="M50" s="6">
        <v>45863.549305555556</v>
      </c>
      <c r="N50" s="2">
        <v>1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38</v>
      </c>
      <c r="X50" s="2">
        <v>10</v>
      </c>
    </row>
    <row r="51" spans="1:24" x14ac:dyDescent="0.35">
      <c r="A51" s="2">
        <v>3</v>
      </c>
      <c r="B51" s="2">
        <v>14135</v>
      </c>
      <c r="C51" s="2">
        <v>2</v>
      </c>
      <c r="D51" s="2">
        <v>1</v>
      </c>
      <c r="E51" s="2">
        <v>20240421</v>
      </c>
      <c r="F51" s="2">
        <v>202404</v>
      </c>
      <c r="G51" s="2" t="s">
        <v>548</v>
      </c>
      <c r="H51" s="2" t="s">
        <v>549</v>
      </c>
      <c r="I51" s="2"/>
      <c r="J51" s="2">
        <v>4600015333</v>
      </c>
      <c r="K51" s="2" t="s">
        <v>5</v>
      </c>
      <c r="L51" s="2" t="s">
        <v>546</v>
      </c>
      <c r="M51" s="6">
        <v>45863.549305555556</v>
      </c>
      <c r="N51" s="2">
        <v>1</v>
      </c>
      <c r="O51" s="2">
        <v>6217</v>
      </c>
      <c r="P51" s="2">
        <v>0</v>
      </c>
      <c r="Q51" s="2">
        <v>6217</v>
      </c>
      <c r="R51" s="2">
        <v>933</v>
      </c>
      <c r="S51" s="2">
        <v>0</v>
      </c>
      <c r="T51" s="2">
        <v>0</v>
      </c>
      <c r="U51" s="2">
        <v>0</v>
      </c>
      <c r="V51" s="2">
        <v>7150</v>
      </c>
      <c r="W51" s="2">
        <v>86</v>
      </c>
      <c r="X51" s="2">
        <v>3</v>
      </c>
    </row>
    <row r="52" spans="1:24" x14ac:dyDescent="0.35">
      <c r="A52" s="2">
        <v>3</v>
      </c>
      <c r="B52" s="2">
        <v>1947435</v>
      </c>
      <c r="C52" s="2">
        <v>1</v>
      </c>
      <c r="D52" s="2">
        <v>2</v>
      </c>
      <c r="E52" s="2">
        <v>20240213</v>
      </c>
      <c r="F52" s="2">
        <v>202402</v>
      </c>
      <c r="G52" s="2" t="s">
        <v>548</v>
      </c>
      <c r="H52" s="2" t="s">
        <v>549</v>
      </c>
      <c r="I52" s="2"/>
      <c r="J52" s="2">
        <v>4600014552</v>
      </c>
      <c r="K52" s="2" t="s">
        <v>5</v>
      </c>
      <c r="L52" s="2" t="s">
        <v>546</v>
      </c>
      <c r="M52" s="6">
        <v>45863.549305555556</v>
      </c>
      <c r="N52" s="2">
        <v>1</v>
      </c>
      <c r="O52" s="2">
        <v>1565</v>
      </c>
      <c r="P52" s="2">
        <v>0</v>
      </c>
      <c r="Q52" s="2">
        <v>1565</v>
      </c>
      <c r="R52" s="2">
        <v>235</v>
      </c>
      <c r="S52" s="2">
        <v>0</v>
      </c>
      <c r="T52" s="2">
        <v>0</v>
      </c>
      <c r="U52" s="2">
        <v>0</v>
      </c>
      <c r="V52" s="2">
        <v>1800</v>
      </c>
      <c r="W52" s="2">
        <v>99</v>
      </c>
      <c r="X52" s="2">
        <v>10</v>
      </c>
    </row>
    <row r="53" spans="1:24" x14ac:dyDescent="0.35">
      <c r="A53" s="2">
        <v>1</v>
      </c>
      <c r="B53" s="2">
        <v>2224840</v>
      </c>
      <c r="C53" s="2">
        <v>14</v>
      </c>
      <c r="D53" s="2">
        <v>6</v>
      </c>
      <c r="E53" s="2">
        <v>20250530</v>
      </c>
      <c r="F53" s="2">
        <v>202505</v>
      </c>
      <c r="G53" s="2" t="s">
        <v>545</v>
      </c>
      <c r="H53" s="2" t="s">
        <v>545</v>
      </c>
      <c r="I53" s="2"/>
      <c r="J53" s="2">
        <v>4201087474</v>
      </c>
      <c r="K53" s="2" t="s">
        <v>5</v>
      </c>
      <c r="L53" s="2" t="s">
        <v>546</v>
      </c>
      <c r="M53" s="6">
        <v>45863.549305555556</v>
      </c>
      <c r="N53" s="2">
        <v>1</v>
      </c>
      <c r="O53" s="2">
        <v>47163</v>
      </c>
      <c r="P53" s="2">
        <v>-3210</v>
      </c>
      <c r="Q53" s="2">
        <v>43953</v>
      </c>
      <c r="R53" s="2">
        <v>3297</v>
      </c>
      <c r="S53" s="2">
        <v>0</v>
      </c>
      <c r="T53" s="2">
        <v>11320</v>
      </c>
      <c r="U53" s="2">
        <v>300</v>
      </c>
      <c r="V53" s="2">
        <v>58870</v>
      </c>
      <c r="W53" s="2">
        <v>66</v>
      </c>
      <c r="X53" s="2">
        <v>29</v>
      </c>
    </row>
    <row r="54" spans="1:24" x14ac:dyDescent="0.35">
      <c r="A54" s="2">
        <v>5</v>
      </c>
      <c r="B54" s="2">
        <v>835520</v>
      </c>
      <c r="C54" s="2">
        <v>7</v>
      </c>
      <c r="D54" s="2">
        <v>5</v>
      </c>
      <c r="E54" s="2">
        <v>20250616</v>
      </c>
      <c r="F54" s="2">
        <v>202506</v>
      </c>
      <c r="G54" s="2" t="s">
        <v>545</v>
      </c>
      <c r="H54" s="2" t="s">
        <v>545</v>
      </c>
      <c r="I54" s="2"/>
      <c r="J54" s="2">
        <v>4201098982</v>
      </c>
      <c r="K54" s="2" t="s">
        <v>5</v>
      </c>
      <c r="L54" s="2" t="s">
        <v>546</v>
      </c>
      <c r="M54" s="6">
        <v>45863.549305555556</v>
      </c>
      <c r="N54" s="2">
        <v>1</v>
      </c>
      <c r="O54" s="2">
        <v>72279</v>
      </c>
      <c r="P54" s="2">
        <v>-2977</v>
      </c>
      <c r="Q54" s="2">
        <v>69302</v>
      </c>
      <c r="R54" s="2">
        <v>5198</v>
      </c>
      <c r="S54" s="2">
        <v>0</v>
      </c>
      <c r="T54" s="2">
        <v>17350</v>
      </c>
      <c r="U54" s="2">
        <v>450</v>
      </c>
      <c r="V54" s="2">
        <v>92300</v>
      </c>
      <c r="W54" s="2">
        <v>92</v>
      </c>
      <c r="X54" s="2">
        <v>23</v>
      </c>
    </row>
    <row r="55" spans="1:24" x14ac:dyDescent="0.35">
      <c r="A55" s="2">
        <v>3</v>
      </c>
      <c r="B55" s="2">
        <v>779161</v>
      </c>
      <c r="C55" s="2">
        <v>10</v>
      </c>
      <c r="D55" s="2">
        <v>2</v>
      </c>
      <c r="E55" s="2">
        <v>20240506</v>
      </c>
      <c r="F55" s="2">
        <v>202405</v>
      </c>
      <c r="G55" s="2" t="s">
        <v>548</v>
      </c>
      <c r="H55" s="2" t="s">
        <v>549</v>
      </c>
      <c r="I55" s="2"/>
      <c r="J55" s="2">
        <v>4600016476</v>
      </c>
      <c r="K55" s="2" t="s">
        <v>5</v>
      </c>
      <c r="L55" s="2" t="s">
        <v>546</v>
      </c>
      <c r="M55" s="6">
        <v>45863.549305555556</v>
      </c>
      <c r="N55" s="2">
        <v>1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32</v>
      </c>
      <c r="X55" s="2">
        <v>30</v>
      </c>
    </row>
    <row r="56" spans="1:24" x14ac:dyDescent="0.35">
      <c r="A56" s="2">
        <v>9</v>
      </c>
      <c r="B56" s="2">
        <v>2193270</v>
      </c>
      <c r="C56" s="2">
        <v>1</v>
      </c>
      <c r="D56" s="2">
        <v>2</v>
      </c>
      <c r="E56" s="2">
        <v>20250329</v>
      </c>
      <c r="F56" s="2">
        <v>202503</v>
      </c>
      <c r="G56" s="2" t="s">
        <v>547</v>
      </c>
      <c r="H56" s="2" t="s">
        <v>547</v>
      </c>
      <c r="I56" s="2"/>
      <c r="J56" s="2">
        <v>4102804535</v>
      </c>
      <c r="K56" s="2" t="s">
        <v>5</v>
      </c>
      <c r="L56" s="2" t="s">
        <v>546</v>
      </c>
      <c r="M56" s="6">
        <v>45863.549305555556</v>
      </c>
      <c r="N56" s="2">
        <v>1</v>
      </c>
      <c r="O56" s="2">
        <v>26696</v>
      </c>
      <c r="P56" s="2">
        <v>-1913</v>
      </c>
      <c r="Q56" s="2">
        <v>24783</v>
      </c>
      <c r="R56" s="2">
        <v>3717</v>
      </c>
      <c r="S56" s="2">
        <v>0</v>
      </c>
      <c r="T56" s="2">
        <v>0</v>
      </c>
      <c r="U56" s="2">
        <v>0</v>
      </c>
      <c r="V56" s="2">
        <v>28500</v>
      </c>
      <c r="W56" s="2">
        <v>38</v>
      </c>
      <c r="X56" s="2">
        <v>23</v>
      </c>
    </row>
    <row r="57" spans="1:24" x14ac:dyDescent="0.35">
      <c r="A57" s="2">
        <v>3</v>
      </c>
      <c r="B57" s="2">
        <v>713123</v>
      </c>
      <c r="C57" s="2">
        <v>2</v>
      </c>
      <c r="D57" s="2">
        <v>1</v>
      </c>
      <c r="E57" s="2">
        <v>20240827</v>
      </c>
      <c r="F57" s="2">
        <v>202408</v>
      </c>
      <c r="G57" s="2" t="s">
        <v>548</v>
      </c>
      <c r="H57" s="2" t="s">
        <v>549</v>
      </c>
      <c r="I57" s="2"/>
      <c r="J57" s="2">
        <v>4600021057</v>
      </c>
      <c r="K57" s="2" t="s">
        <v>5</v>
      </c>
      <c r="L57" s="2" t="s">
        <v>546</v>
      </c>
      <c r="M57" s="6">
        <v>45863.549305555556</v>
      </c>
      <c r="N57" s="2">
        <v>1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83</v>
      </c>
      <c r="X57" s="2">
        <v>29</v>
      </c>
    </row>
    <row r="58" spans="1:24" x14ac:dyDescent="0.35">
      <c r="A58" s="2">
        <v>8</v>
      </c>
      <c r="B58" s="2">
        <v>426529</v>
      </c>
      <c r="C58" s="2">
        <v>3</v>
      </c>
      <c r="D58" s="2">
        <v>4</v>
      </c>
      <c r="E58" s="2">
        <v>20250513</v>
      </c>
      <c r="F58" s="2">
        <v>202505</v>
      </c>
      <c r="G58" s="2" t="s">
        <v>545</v>
      </c>
      <c r="H58" s="2" t="s">
        <v>545</v>
      </c>
      <c r="I58" s="2"/>
      <c r="J58" s="2">
        <v>4201081344</v>
      </c>
      <c r="K58" s="2" t="s">
        <v>5</v>
      </c>
      <c r="L58" s="2" t="s">
        <v>546</v>
      </c>
      <c r="M58" s="6">
        <v>45863.549305555556</v>
      </c>
      <c r="N58" s="2">
        <v>1</v>
      </c>
      <c r="O58" s="2">
        <v>66000</v>
      </c>
      <c r="P58" s="2">
        <v>-2318</v>
      </c>
      <c r="Q58" s="2">
        <v>63682</v>
      </c>
      <c r="R58" s="2">
        <v>9553</v>
      </c>
      <c r="S58" s="2">
        <v>0</v>
      </c>
      <c r="T58" s="2">
        <v>15845</v>
      </c>
      <c r="U58" s="2">
        <v>410</v>
      </c>
      <c r="V58" s="2">
        <v>89490</v>
      </c>
      <c r="W58" s="2">
        <v>81</v>
      </c>
      <c r="X58" s="2">
        <v>16</v>
      </c>
    </row>
    <row r="59" spans="1:24" x14ac:dyDescent="0.35">
      <c r="A59" s="2">
        <v>3</v>
      </c>
      <c r="B59" s="2">
        <v>1234733</v>
      </c>
      <c r="C59" s="2">
        <v>3</v>
      </c>
      <c r="D59" s="2">
        <v>4</v>
      </c>
      <c r="E59" s="2">
        <v>20230923</v>
      </c>
      <c r="F59" s="2">
        <v>202309</v>
      </c>
      <c r="G59" s="2" t="s">
        <v>548</v>
      </c>
      <c r="H59" s="2" t="s">
        <v>549</v>
      </c>
      <c r="I59" s="2"/>
      <c r="J59" s="2">
        <v>4600012611</v>
      </c>
      <c r="K59" s="2" t="s">
        <v>5</v>
      </c>
      <c r="L59" s="2" t="s">
        <v>546</v>
      </c>
      <c r="M59" s="6">
        <v>45863.549305555556</v>
      </c>
      <c r="N59" s="2">
        <v>1</v>
      </c>
      <c r="O59" s="2">
        <v>30609</v>
      </c>
      <c r="P59" s="2">
        <v>0</v>
      </c>
      <c r="Q59" s="2">
        <v>30609</v>
      </c>
      <c r="R59" s="2">
        <v>4591</v>
      </c>
      <c r="S59" s="2">
        <v>0</v>
      </c>
      <c r="T59" s="2">
        <v>0</v>
      </c>
      <c r="U59" s="2">
        <v>0</v>
      </c>
      <c r="V59" s="2">
        <v>35200</v>
      </c>
      <c r="W59" s="2">
        <v>8</v>
      </c>
      <c r="X59" s="2">
        <v>29</v>
      </c>
    </row>
    <row r="60" spans="1:24" x14ac:dyDescent="0.35">
      <c r="A60" s="2">
        <v>3</v>
      </c>
      <c r="B60" s="2">
        <v>2004663</v>
      </c>
      <c r="C60" s="2">
        <v>10</v>
      </c>
      <c r="D60" s="2">
        <v>2</v>
      </c>
      <c r="E60" s="2">
        <v>20240508</v>
      </c>
      <c r="F60" s="2">
        <v>202405</v>
      </c>
      <c r="G60" s="2" t="s">
        <v>548</v>
      </c>
      <c r="H60" s="2" t="s">
        <v>549</v>
      </c>
      <c r="I60" s="2"/>
      <c r="J60" s="2">
        <v>4600016663</v>
      </c>
      <c r="K60" s="2" t="s">
        <v>5</v>
      </c>
      <c r="L60" s="2" t="s">
        <v>546</v>
      </c>
      <c r="M60" s="6">
        <v>45863.549305555556</v>
      </c>
      <c r="N60" s="2">
        <v>1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14</v>
      </c>
      <c r="X60" s="2">
        <v>9</v>
      </c>
    </row>
    <row r="61" spans="1:24" x14ac:dyDescent="0.35">
      <c r="A61" s="2">
        <v>4</v>
      </c>
      <c r="B61" s="2">
        <v>1743497</v>
      </c>
      <c r="C61" s="2">
        <v>14</v>
      </c>
      <c r="D61" s="2">
        <v>6</v>
      </c>
      <c r="E61" s="2">
        <v>20240313</v>
      </c>
      <c r="F61" s="2">
        <v>202403</v>
      </c>
      <c r="G61" s="2" t="s">
        <v>547</v>
      </c>
      <c r="H61" s="2" t="s">
        <v>547</v>
      </c>
      <c r="I61" s="2"/>
      <c r="J61" s="2">
        <v>4102710695</v>
      </c>
      <c r="K61" s="2" t="s">
        <v>5</v>
      </c>
      <c r="L61" s="2" t="s">
        <v>546</v>
      </c>
      <c r="M61" s="6">
        <v>45863.549305555556</v>
      </c>
      <c r="N61" s="2">
        <v>1</v>
      </c>
      <c r="O61" s="2">
        <v>47143</v>
      </c>
      <c r="P61" s="2">
        <v>-3538</v>
      </c>
      <c r="Q61" s="2">
        <v>43605</v>
      </c>
      <c r="R61" s="2">
        <v>2180</v>
      </c>
      <c r="S61" s="2">
        <v>0</v>
      </c>
      <c r="T61" s="2">
        <v>0</v>
      </c>
      <c r="U61" s="2">
        <v>0</v>
      </c>
      <c r="V61" s="2">
        <v>45785</v>
      </c>
      <c r="W61" s="2">
        <v>70</v>
      </c>
      <c r="X61" s="2">
        <v>16</v>
      </c>
    </row>
    <row r="62" spans="1:24" x14ac:dyDescent="0.35">
      <c r="A62" s="2">
        <v>10</v>
      </c>
      <c r="B62" s="2">
        <v>2177081</v>
      </c>
      <c r="C62" s="2">
        <v>7</v>
      </c>
      <c r="D62" s="2">
        <v>5</v>
      </c>
      <c r="E62" s="2">
        <v>20240920</v>
      </c>
      <c r="F62" s="2">
        <v>202409</v>
      </c>
      <c r="G62" s="2" t="s">
        <v>545</v>
      </c>
      <c r="H62" s="2" t="s">
        <v>545</v>
      </c>
      <c r="I62" s="2"/>
      <c r="J62" s="2">
        <v>4201036190</v>
      </c>
      <c r="K62" s="2" t="s">
        <v>5</v>
      </c>
      <c r="L62" s="2" t="s">
        <v>546</v>
      </c>
      <c r="M62" s="6">
        <v>45863.549305555556</v>
      </c>
      <c r="N62" s="2">
        <v>1</v>
      </c>
      <c r="O62" s="2">
        <v>70952</v>
      </c>
      <c r="P62" s="2">
        <v>0</v>
      </c>
      <c r="Q62" s="2">
        <v>70952</v>
      </c>
      <c r="R62" s="2">
        <v>3548</v>
      </c>
      <c r="S62" s="2">
        <v>0</v>
      </c>
      <c r="T62" s="2">
        <v>17030</v>
      </c>
      <c r="U62" s="2">
        <v>440</v>
      </c>
      <c r="V62" s="2">
        <v>91970</v>
      </c>
      <c r="W62" s="2">
        <v>21</v>
      </c>
      <c r="X62" s="2">
        <v>15</v>
      </c>
    </row>
    <row r="63" spans="1:24" x14ac:dyDescent="0.35">
      <c r="A63" s="2">
        <v>3</v>
      </c>
      <c r="B63" s="2">
        <v>380943</v>
      </c>
      <c r="C63" s="2">
        <v>10</v>
      </c>
      <c r="D63" s="2">
        <v>2</v>
      </c>
      <c r="E63" s="2">
        <v>20240331</v>
      </c>
      <c r="F63" s="2">
        <v>202403</v>
      </c>
      <c r="G63" s="2" t="s">
        <v>548</v>
      </c>
      <c r="H63" s="2" t="s">
        <v>549</v>
      </c>
      <c r="I63" s="2"/>
      <c r="J63" s="2">
        <v>4600015130</v>
      </c>
      <c r="K63" s="2" t="s">
        <v>5</v>
      </c>
      <c r="L63" s="2" t="s">
        <v>546</v>
      </c>
      <c r="M63" s="6">
        <v>45863.549305555556</v>
      </c>
      <c r="N63" s="2">
        <v>1</v>
      </c>
      <c r="O63" s="2">
        <v>10522</v>
      </c>
      <c r="P63" s="2">
        <v>0</v>
      </c>
      <c r="Q63" s="2">
        <v>10522</v>
      </c>
      <c r="R63" s="2">
        <v>1578</v>
      </c>
      <c r="S63" s="2">
        <v>0</v>
      </c>
      <c r="T63" s="2">
        <v>0</v>
      </c>
      <c r="U63" s="2">
        <v>0</v>
      </c>
      <c r="V63" s="2">
        <v>12100</v>
      </c>
      <c r="W63" s="2">
        <v>43</v>
      </c>
      <c r="X63" s="2">
        <v>16</v>
      </c>
    </row>
    <row r="64" spans="1:24" x14ac:dyDescent="0.35">
      <c r="A64" s="2">
        <v>6</v>
      </c>
      <c r="B64" s="2">
        <v>2159683</v>
      </c>
      <c r="C64" s="2">
        <v>13</v>
      </c>
      <c r="D64" s="2">
        <v>6</v>
      </c>
      <c r="E64" s="2">
        <v>20240622</v>
      </c>
      <c r="F64" s="2">
        <v>202406</v>
      </c>
      <c r="G64" s="2" t="s">
        <v>547</v>
      </c>
      <c r="H64" s="2" t="s">
        <v>547</v>
      </c>
      <c r="I64" s="2"/>
      <c r="J64" s="2">
        <v>4102750087</v>
      </c>
      <c r="K64" s="2" t="s">
        <v>5</v>
      </c>
      <c r="L64" s="2" t="s">
        <v>546</v>
      </c>
      <c r="M64" s="6">
        <v>45863.549305555556</v>
      </c>
      <c r="N64" s="2">
        <v>1</v>
      </c>
      <c r="O64" s="2">
        <v>48476</v>
      </c>
      <c r="P64" s="2">
        <v>-4852</v>
      </c>
      <c r="Q64" s="2">
        <v>43624</v>
      </c>
      <c r="R64" s="2">
        <v>2181</v>
      </c>
      <c r="S64" s="2">
        <v>0</v>
      </c>
      <c r="T64" s="2">
        <v>0</v>
      </c>
      <c r="U64" s="2">
        <v>0</v>
      </c>
      <c r="V64" s="2">
        <v>45805</v>
      </c>
      <c r="W64" s="2">
        <v>72</v>
      </c>
      <c r="X64" s="2">
        <v>5</v>
      </c>
    </row>
    <row r="65" spans="1:24" x14ac:dyDescent="0.35">
      <c r="A65" s="2">
        <v>3</v>
      </c>
      <c r="B65" s="2">
        <v>1361992</v>
      </c>
      <c r="C65" s="2">
        <v>2</v>
      </c>
      <c r="D65" s="2">
        <v>1</v>
      </c>
      <c r="E65" s="2">
        <v>20241128</v>
      </c>
      <c r="F65" s="2">
        <v>202411</v>
      </c>
      <c r="G65" s="2" t="s">
        <v>548</v>
      </c>
      <c r="H65" s="2" t="s">
        <v>549</v>
      </c>
      <c r="I65" s="2"/>
      <c r="J65" s="2">
        <v>4600023234</v>
      </c>
      <c r="K65" s="2" t="s">
        <v>5</v>
      </c>
      <c r="L65" s="2" t="s">
        <v>546</v>
      </c>
      <c r="M65" s="6">
        <v>45863.549305555556</v>
      </c>
      <c r="N65" s="2">
        <v>1</v>
      </c>
      <c r="O65" s="2">
        <v>6217</v>
      </c>
      <c r="P65" s="2">
        <v>0</v>
      </c>
      <c r="Q65" s="2">
        <v>6217</v>
      </c>
      <c r="R65" s="2">
        <v>933</v>
      </c>
      <c r="S65" s="2">
        <v>0</v>
      </c>
      <c r="T65" s="2">
        <v>0</v>
      </c>
      <c r="U65" s="2">
        <v>0</v>
      </c>
      <c r="V65" s="2">
        <v>7150</v>
      </c>
      <c r="W65" s="2">
        <v>28</v>
      </c>
      <c r="X65" s="2">
        <v>11</v>
      </c>
    </row>
    <row r="66" spans="1:24" x14ac:dyDescent="0.35">
      <c r="A66" s="2">
        <v>4</v>
      </c>
      <c r="B66" s="2">
        <v>2002247</v>
      </c>
      <c r="C66" s="2">
        <v>15</v>
      </c>
      <c r="D66" s="2">
        <v>6</v>
      </c>
      <c r="E66" s="2">
        <v>20230826</v>
      </c>
      <c r="F66" s="2">
        <v>202308</v>
      </c>
      <c r="G66" s="2" t="s">
        <v>547</v>
      </c>
      <c r="H66" s="2" t="s">
        <v>547</v>
      </c>
      <c r="I66" s="2"/>
      <c r="J66" s="2">
        <v>4102662303</v>
      </c>
      <c r="K66" s="2" t="s">
        <v>5</v>
      </c>
      <c r="L66" s="2" t="s">
        <v>546</v>
      </c>
      <c r="M66" s="6">
        <v>45863.549305555556</v>
      </c>
      <c r="N66" s="2">
        <v>1</v>
      </c>
      <c r="O66" s="2">
        <v>85619</v>
      </c>
      <c r="P66" s="2">
        <v>-4281</v>
      </c>
      <c r="Q66" s="2">
        <v>81338</v>
      </c>
      <c r="R66" s="2">
        <v>4067</v>
      </c>
      <c r="S66" s="2">
        <v>0</v>
      </c>
      <c r="T66" s="2">
        <v>0</v>
      </c>
      <c r="U66" s="2">
        <v>0</v>
      </c>
      <c r="V66" s="2">
        <v>85405</v>
      </c>
      <c r="W66" s="2">
        <v>92</v>
      </c>
      <c r="X66" s="2">
        <v>20</v>
      </c>
    </row>
    <row r="67" spans="1:24" x14ac:dyDescent="0.35">
      <c r="A67" s="2">
        <v>3</v>
      </c>
      <c r="B67" s="2">
        <v>418166</v>
      </c>
      <c r="C67" s="2">
        <v>3</v>
      </c>
      <c r="D67" s="2">
        <v>4</v>
      </c>
      <c r="E67" s="2">
        <v>20240505</v>
      </c>
      <c r="F67" s="2">
        <v>202405</v>
      </c>
      <c r="G67" s="2" t="s">
        <v>548</v>
      </c>
      <c r="H67" s="2" t="s">
        <v>549</v>
      </c>
      <c r="I67" s="2"/>
      <c r="J67" s="2">
        <v>4600016355</v>
      </c>
      <c r="K67" s="2" t="s">
        <v>5</v>
      </c>
      <c r="L67" s="2" t="s">
        <v>546</v>
      </c>
      <c r="M67" s="6">
        <v>45863.549305555556</v>
      </c>
      <c r="N67" s="2">
        <v>1</v>
      </c>
      <c r="O67" s="2">
        <v>11304</v>
      </c>
      <c r="P67" s="2">
        <v>0</v>
      </c>
      <c r="Q67" s="2">
        <v>11304</v>
      </c>
      <c r="R67" s="2">
        <v>1696</v>
      </c>
      <c r="S67" s="2">
        <v>0</v>
      </c>
      <c r="T67" s="2">
        <v>0</v>
      </c>
      <c r="U67" s="2">
        <v>0</v>
      </c>
      <c r="V67" s="2">
        <v>13000</v>
      </c>
      <c r="W67" s="2">
        <v>64</v>
      </c>
      <c r="X67" s="2">
        <v>7</v>
      </c>
    </row>
    <row r="68" spans="1:24" x14ac:dyDescent="0.35">
      <c r="A68" s="2">
        <v>10</v>
      </c>
      <c r="B68" s="2">
        <v>812607</v>
      </c>
      <c r="C68" s="2">
        <v>3</v>
      </c>
      <c r="D68" s="2">
        <v>4</v>
      </c>
      <c r="E68" s="2">
        <v>20231231</v>
      </c>
      <c r="F68" s="2">
        <v>202312</v>
      </c>
      <c r="G68" s="2" t="s">
        <v>545</v>
      </c>
      <c r="H68" s="2" t="s">
        <v>545</v>
      </c>
      <c r="I68" s="2"/>
      <c r="J68" s="2">
        <v>4200964712</v>
      </c>
      <c r="K68" s="2" t="s">
        <v>5</v>
      </c>
      <c r="L68" s="2" t="s">
        <v>546</v>
      </c>
      <c r="M68" s="6">
        <v>45863.549305555556</v>
      </c>
      <c r="N68" s="2">
        <v>1</v>
      </c>
      <c r="O68" s="2">
        <v>63391</v>
      </c>
      <c r="P68" s="2">
        <v>0</v>
      </c>
      <c r="Q68" s="2">
        <v>63391</v>
      </c>
      <c r="R68" s="2">
        <v>9509</v>
      </c>
      <c r="S68" s="2">
        <v>0</v>
      </c>
      <c r="T68" s="2">
        <v>15215</v>
      </c>
      <c r="U68" s="2">
        <v>400</v>
      </c>
      <c r="V68" s="2">
        <v>88515</v>
      </c>
      <c r="W68" s="2">
        <v>100</v>
      </c>
      <c r="X68" s="2">
        <v>12</v>
      </c>
    </row>
    <row r="69" spans="1:24" x14ac:dyDescent="0.35">
      <c r="A69" s="2">
        <v>8</v>
      </c>
      <c r="B69" s="2">
        <v>2222770</v>
      </c>
      <c r="C69" s="2">
        <v>12</v>
      </c>
      <c r="D69" s="2">
        <v>6</v>
      </c>
      <c r="E69" s="2">
        <v>20250221</v>
      </c>
      <c r="F69" s="2">
        <v>202502</v>
      </c>
      <c r="G69" s="2" t="s">
        <v>547</v>
      </c>
      <c r="H69" s="2" t="s">
        <v>547</v>
      </c>
      <c r="I69" s="2"/>
      <c r="J69" s="2">
        <v>4102794213</v>
      </c>
      <c r="K69" s="2" t="s">
        <v>5</v>
      </c>
      <c r="L69" s="2" t="s">
        <v>546</v>
      </c>
      <c r="M69" s="6">
        <v>45863.549305555556</v>
      </c>
      <c r="N69" s="2">
        <v>1</v>
      </c>
      <c r="O69" s="2">
        <v>45256</v>
      </c>
      <c r="P69" s="2">
        <v>-3396</v>
      </c>
      <c r="Q69" s="2">
        <v>41860</v>
      </c>
      <c r="R69" s="2">
        <v>3140</v>
      </c>
      <c r="S69" s="2">
        <v>0</v>
      </c>
      <c r="T69" s="2">
        <v>0</v>
      </c>
      <c r="U69" s="2">
        <v>0</v>
      </c>
      <c r="V69" s="2">
        <v>45000</v>
      </c>
      <c r="W69" s="2">
        <v>62</v>
      </c>
      <c r="X69" s="2">
        <v>26</v>
      </c>
    </row>
    <row r="70" spans="1:24" x14ac:dyDescent="0.35">
      <c r="A70" s="2">
        <v>8</v>
      </c>
      <c r="B70" s="2">
        <v>369449</v>
      </c>
      <c r="C70" s="2">
        <v>12</v>
      </c>
      <c r="D70" s="2">
        <v>6</v>
      </c>
      <c r="E70" s="2">
        <v>20240305</v>
      </c>
      <c r="F70" s="2">
        <v>202403</v>
      </c>
      <c r="G70" s="2" t="s">
        <v>547</v>
      </c>
      <c r="H70" s="2" t="s">
        <v>547</v>
      </c>
      <c r="I70" s="2"/>
      <c r="J70" s="2">
        <v>4102708292</v>
      </c>
      <c r="K70" s="2" t="s">
        <v>5</v>
      </c>
      <c r="L70" s="2" t="s">
        <v>546</v>
      </c>
      <c r="M70" s="6">
        <v>45863.549305555556</v>
      </c>
      <c r="N70" s="2">
        <v>1</v>
      </c>
      <c r="O70" s="2">
        <v>45238</v>
      </c>
      <c r="P70" s="2">
        <v>-3395</v>
      </c>
      <c r="Q70" s="2">
        <v>41843</v>
      </c>
      <c r="R70" s="2">
        <v>2092</v>
      </c>
      <c r="S70" s="2">
        <v>0</v>
      </c>
      <c r="T70" s="2">
        <v>0</v>
      </c>
      <c r="U70" s="2">
        <v>0</v>
      </c>
      <c r="V70" s="2">
        <v>43935</v>
      </c>
      <c r="W70" s="2">
        <v>62</v>
      </c>
      <c r="X70" s="2">
        <v>8</v>
      </c>
    </row>
    <row r="71" spans="1:24" x14ac:dyDescent="0.35">
      <c r="A71" s="2">
        <v>9</v>
      </c>
      <c r="B71" s="2">
        <v>2189144</v>
      </c>
      <c r="C71" s="2">
        <v>14</v>
      </c>
      <c r="D71" s="2">
        <v>6</v>
      </c>
      <c r="E71" s="2">
        <v>20240923</v>
      </c>
      <c r="F71" s="2">
        <v>202409</v>
      </c>
      <c r="G71" s="2" t="s">
        <v>547</v>
      </c>
      <c r="H71" s="2" t="s">
        <v>547</v>
      </c>
      <c r="I71" s="2"/>
      <c r="J71" s="2">
        <v>4102767154</v>
      </c>
      <c r="K71" s="2" t="s">
        <v>5</v>
      </c>
      <c r="L71" s="2" t="s">
        <v>546</v>
      </c>
      <c r="M71" s="6">
        <v>45863.549305555556</v>
      </c>
      <c r="N71" s="2">
        <v>1</v>
      </c>
      <c r="O71" s="2">
        <v>47143</v>
      </c>
      <c r="P71" s="2">
        <v>-3300</v>
      </c>
      <c r="Q71" s="2">
        <v>43843</v>
      </c>
      <c r="R71" s="2">
        <v>2192</v>
      </c>
      <c r="S71" s="2">
        <v>0</v>
      </c>
      <c r="T71" s="2">
        <v>0</v>
      </c>
      <c r="U71" s="2">
        <v>0</v>
      </c>
      <c r="V71" s="2">
        <v>46035</v>
      </c>
      <c r="W71" s="2">
        <v>32</v>
      </c>
      <c r="X71" s="2">
        <v>16</v>
      </c>
    </row>
    <row r="72" spans="1:24" x14ac:dyDescent="0.35">
      <c r="A72" s="2">
        <v>3</v>
      </c>
      <c r="B72" s="2">
        <v>592259</v>
      </c>
      <c r="C72" s="2">
        <v>1</v>
      </c>
      <c r="D72" s="2">
        <v>2</v>
      </c>
      <c r="E72" s="2">
        <v>20250612</v>
      </c>
      <c r="F72" s="2">
        <v>202506</v>
      </c>
      <c r="G72" s="2" t="s">
        <v>548</v>
      </c>
      <c r="H72" s="2" t="s">
        <v>549</v>
      </c>
      <c r="I72" s="2"/>
      <c r="J72" s="2">
        <v>4600026717</v>
      </c>
      <c r="K72" s="2" t="s">
        <v>5</v>
      </c>
      <c r="L72" s="2" t="s">
        <v>546</v>
      </c>
      <c r="M72" s="6">
        <v>45863.549305555556</v>
      </c>
      <c r="N72" s="2">
        <v>1</v>
      </c>
      <c r="O72" s="2">
        <v>1565</v>
      </c>
      <c r="P72" s="2">
        <v>0</v>
      </c>
      <c r="Q72" s="2">
        <v>1565</v>
      </c>
      <c r="R72" s="2">
        <v>235</v>
      </c>
      <c r="S72" s="2">
        <v>0</v>
      </c>
      <c r="T72" s="2">
        <v>0</v>
      </c>
      <c r="U72" s="2">
        <v>0</v>
      </c>
      <c r="V72" s="2">
        <v>1800</v>
      </c>
      <c r="W72" s="2">
        <v>90</v>
      </c>
      <c r="X72" s="2">
        <v>11</v>
      </c>
    </row>
    <row r="73" spans="1:24" x14ac:dyDescent="0.35">
      <c r="A73" s="2">
        <v>3</v>
      </c>
      <c r="B73" s="2">
        <v>27285</v>
      </c>
      <c r="C73" s="2">
        <v>3</v>
      </c>
      <c r="D73" s="2">
        <v>4</v>
      </c>
      <c r="E73" s="2">
        <v>20240515</v>
      </c>
      <c r="F73" s="2">
        <v>202405</v>
      </c>
      <c r="G73" s="2" t="s">
        <v>548</v>
      </c>
      <c r="H73" s="2" t="s">
        <v>549</v>
      </c>
      <c r="I73" s="2"/>
      <c r="J73" s="2">
        <v>4600017471</v>
      </c>
      <c r="K73" s="2" t="s">
        <v>5</v>
      </c>
      <c r="L73" s="2" t="s">
        <v>546</v>
      </c>
      <c r="M73" s="6">
        <v>45863.549305555556</v>
      </c>
      <c r="N73" s="2">
        <v>1</v>
      </c>
      <c r="O73" s="2">
        <v>13217</v>
      </c>
      <c r="P73" s="2">
        <v>0</v>
      </c>
      <c r="Q73" s="2">
        <v>13217</v>
      </c>
      <c r="R73" s="2">
        <v>1983</v>
      </c>
      <c r="S73" s="2">
        <v>0</v>
      </c>
      <c r="T73" s="2">
        <v>0</v>
      </c>
      <c r="U73" s="2">
        <v>0</v>
      </c>
      <c r="V73" s="2">
        <v>15200</v>
      </c>
      <c r="W73" s="2">
        <v>2</v>
      </c>
      <c r="X73" s="2">
        <v>24</v>
      </c>
    </row>
    <row r="74" spans="1:24" x14ac:dyDescent="0.35">
      <c r="A74" s="2">
        <v>3</v>
      </c>
      <c r="B74" s="2">
        <v>1238877</v>
      </c>
      <c r="C74" s="2">
        <v>11</v>
      </c>
      <c r="D74" s="2">
        <v>7</v>
      </c>
      <c r="E74" s="2">
        <v>20240820</v>
      </c>
      <c r="F74" s="2">
        <v>202408</v>
      </c>
      <c r="G74" s="2" t="s">
        <v>548</v>
      </c>
      <c r="H74" s="2" t="s">
        <v>549</v>
      </c>
      <c r="I74" s="2"/>
      <c r="J74" s="2">
        <v>4600020846</v>
      </c>
      <c r="K74" s="2" t="s">
        <v>5</v>
      </c>
      <c r="L74" s="2" t="s">
        <v>546</v>
      </c>
      <c r="M74" s="6">
        <v>45863.549305555556</v>
      </c>
      <c r="N74" s="2">
        <v>1</v>
      </c>
      <c r="O74" s="2">
        <v>7826</v>
      </c>
      <c r="P74" s="2">
        <v>0</v>
      </c>
      <c r="Q74" s="2">
        <v>7826</v>
      </c>
      <c r="R74" s="2">
        <v>1174</v>
      </c>
      <c r="S74" s="2">
        <v>0</v>
      </c>
      <c r="T74" s="2">
        <v>0</v>
      </c>
      <c r="U74" s="2">
        <v>0</v>
      </c>
      <c r="V74" s="2">
        <v>9000</v>
      </c>
      <c r="W74" s="2">
        <v>59</v>
      </c>
      <c r="X74" s="2">
        <v>7</v>
      </c>
    </row>
    <row r="75" spans="1:24" x14ac:dyDescent="0.35">
      <c r="A75" s="2">
        <v>8</v>
      </c>
      <c r="B75" s="2">
        <v>2245502</v>
      </c>
      <c r="C75" s="2">
        <v>14</v>
      </c>
      <c r="D75" s="2">
        <v>6</v>
      </c>
      <c r="E75" s="2">
        <v>20250413</v>
      </c>
      <c r="F75" s="2">
        <v>202504</v>
      </c>
      <c r="G75" s="2" t="s">
        <v>545</v>
      </c>
      <c r="H75" s="2" t="s">
        <v>545</v>
      </c>
      <c r="I75" s="2"/>
      <c r="J75" s="2">
        <v>4201072659</v>
      </c>
      <c r="K75" s="2" t="s">
        <v>5</v>
      </c>
      <c r="L75" s="2" t="s">
        <v>546</v>
      </c>
      <c r="M75" s="6">
        <v>45863.549305555556</v>
      </c>
      <c r="N75" s="2">
        <v>1</v>
      </c>
      <c r="O75" s="2">
        <v>47163</v>
      </c>
      <c r="P75" s="2">
        <v>-3210</v>
      </c>
      <c r="Q75" s="2">
        <v>43953</v>
      </c>
      <c r="R75" s="2">
        <v>3297</v>
      </c>
      <c r="S75" s="2">
        <v>0</v>
      </c>
      <c r="T75" s="2">
        <v>11320</v>
      </c>
      <c r="U75" s="2">
        <v>300</v>
      </c>
      <c r="V75" s="2">
        <v>58870</v>
      </c>
      <c r="W75" s="2">
        <v>98</v>
      </c>
      <c r="X75" s="2">
        <v>8</v>
      </c>
    </row>
    <row r="76" spans="1:24" x14ac:dyDescent="0.35">
      <c r="A76" s="2">
        <v>3</v>
      </c>
      <c r="B76" s="2">
        <v>1000556</v>
      </c>
      <c r="C76" s="2">
        <v>1</v>
      </c>
      <c r="D76" s="2">
        <v>2</v>
      </c>
      <c r="E76" s="2">
        <v>20250122</v>
      </c>
      <c r="F76" s="2">
        <v>202501</v>
      </c>
      <c r="G76" s="2" t="s">
        <v>548</v>
      </c>
      <c r="H76" s="2" t="s">
        <v>549</v>
      </c>
      <c r="I76" s="2"/>
      <c r="J76" s="2">
        <v>4600024516</v>
      </c>
      <c r="K76" s="2" t="s">
        <v>5</v>
      </c>
      <c r="L76" s="2" t="s">
        <v>546</v>
      </c>
      <c r="M76" s="6">
        <v>45863.549305555556</v>
      </c>
      <c r="N76" s="2">
        <v>1</v>
      </c>
      <c r="O76" s="2">
        <v>11130</v>
      </c>
      <c r="P76" s="2">
        <v>0</v>
      </c>
      <c r="Q76" s="2">
        <v>11130</v>
      </c>
      <c r="R76" s="2">
        <v>1670</v>
      </c>
      <c r="S76" s="2">
        <v>0</v>
      </c>
      <c r="T76" s="2">
        <v>0</v>
      </c>
      <c r="U76" s="2">
        <v>0</v>
      </c>
      <c r="V76" s="2">
        <v>12800</v>
      </c>
      <c r="W76" s="2">
        <v>4</v>
      </c>
      <c r="X76" s="2">
        <v>18</v>
      </c>
    </row>
    <row r="77" spans="1:24" x14ac:dyDescent="0.35">
      <c r="A77" s="2">
        <v>7</v>
      </c>
      <c r="B77" s="2">
        <v>1131475</v>
      </c>
      <c r="C77" s="2">
        <v>15</v>
      </c>
      <c r="D77" s="2">
        <v>6</v>
      </c>
      <c r="E77" s="2">
        <v>20230727</v>
      </c>
      <c r="F77" s="2">
        <v>202307</v>
      </c>
      <c r="G77" s="2" t="s">
        <v>547</v>
      </c>
      <c r="H77" s="2" t="s">
        <v>547</v>
      </c>
      <c r="I77" s="2"/>
      <c r="J77" s="2">
        <v>4102654666</v>
      </c>
      <c r="K77" s="2" t="s">
        <v>5</v>
      </c>
      <c r="L77" s="2" t="s">
        <v>546</v>
      </c>
      <c r="M77" s="6">
        <v>45863.549305555556</v>
      </c>
      <c r="N77" s="2">
        <v>1</v>
      </c>
      <c r="O77" s="2">
        <v>85619</v>
      </c>
      <c r="P77" s="2">
        <v>-4281</v>
      </c>
      <c r="Q77" s="2">
        <v>81338</v>
      </c>
      <c r="R77" s="2">
        <v>4067</v>
      </c>
      <c r="S77" s="2">
        <v>0</v>
      </c>
      <c r="T77" s="2">
        <v>0</v>
      </c>
      <c r="U77" s="2">
        <v>0</v>
      </c>
      <c r="V77" s="2">
        <v>85405</v>
      </c>
      <c r="W77" s="2">
        <v>91</v>
      </c>
      <c r="X77" s="2">
        <v>16</v>
      </c>
    </row>
    <row r="78" spans="1:24" x14ac:dyDescent="0.35">
      <c r="A78" s="2">
        <v>3</v>
      </c>
      <c r="B78" s="2">
        <v>503239</v>
      </c>
      <c r="C78" s="2">
        <v>10</v>
      </c>
      <c r="D78" s="2">
        <v>2</v>
      </c>
      <c r="E78" s="2">
        <v>20240820</v>
      </c>
      <c r="F78" s="2">
        <v>202408</v>
      </c>
      <c r="G78" s="2" t="s">
        <v>548</v>
      </c>
      <c r="H78" s="2" t="s">
        <v>549</v>
      </c>
      <c r="I78" s="2"/>
      <c r="J78" s="2">
        <v>4600020874</v>
      </c>
      <c r="K78" s="2" t="s">
        <v>5</v>
      </c>
      <c r="L78" s="2" t="s">
        <v>546</v>
      </c>
      <c r="M78" s="6">
        <v>45863.549305555556</v>
      </c>
      <c r="N78" s="2">
        <v>1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20</v>
      </c>
      <c r="X78" s="2">
        <v>26</v>
      </c>
    </row>
    <row r="79" spans="1:24" x14ac:dyDescent="0.35">
      <c r="A79" s="2">
        <v>3</v>
      </c>
      <c r="B79" s="2">
        <v>1625798</v>
      </c>
      <c r="C79" s="2">
        <v>3</v>
      </c>
      <c r="D79" s="2">
        <v>4</v>
      </c>
      <c r="E79" s="2">
        <v>20230731</v>
      </c>
      <c r="F79" s="2">
        <v>202307</v>
      </c>
      <c r="G79" s="2" t="s">
        <v>548</v>
      </c>
      <c r="H79" s="2" t="s">
        <v>549</v>
      </c>
      <c r="I79" s="2"/>
      <c r="J79" s="2">
        <v>4600011905</v>
      </c>
      <c r="K79" s="2" t="s">
        <v>5</v>
      </c>
      <c r="L79" s="2" t="s">
        <v>546</v>
      </c>
      <c r="M79" s="6">
        <v>45863.549305555556</v>
      </c>
      <c r="N79" s="2">
        <v>1</v>
      </c>
      <c r="O79" s="2">
        <v>15043</v>
      </c>
      <c r="P79" s="2">
        <v>0</v>
      </c>
      <c r="Q79" s="2">
        <v>15043</v>
      </c>
      <c r="R79" s="2">
        <v>2257</v>
      </c>
      <c r="S79" s="2">
        <v>0</v>
      </c>
      <c r="T79" s="2">
        <v>0</v>
      </c>
      <c r="U79" s="2">
        <v>0</v>
      </c>
      <c r="V79" s="2">
        <v>17300</v>
      </c>
      <c r="W79" s="2">
        <v>73</v>
      </c>
      <c r="X79" s="2">
        <v>16</v>
      </c>
    </row>
    <row r="80" spans="1:24" x14ac:dyDescent="0.35">
      <c r="A80" s="2">
        <v>3</v>
      </c>
      <c r="B80" s="2">
        <v>735564</v>
      </c>
      <c r="C80" s="2">
        <v>1</v>
      </c>
      <c r="D80" s="2">
        <v>2</v>
      </c>
      <c r="E80" s="2">
        <v>20241008</v>
      </c>
      <c r="F80" s="2">
        <v>202410</v>
      </c>
      <c r="G80" s="2" t="s">
        <v>548</v>
      </c>
      <c r="H80" s="2" t="s">
        <v>549</v>
      </c>
      <c r="I80" s="2"/>
      <c r="J80" s="2">
        <v>4600022066</v>
      </c>
      <c r="K80" s="2" t="s">
        <v>5</v>
      </c>
      <c r="L80" s="2" t="s">
        <v>546</v>
      </c>
      <c r="M80" s="6">
        <v>45863.549305555556</v>
      </c>
      <c r="N80" s="2">
        <v>1</v>
      </c>
      <c r="O80" s="2">
        <v>5043</v>
      </c>
      <c r="P80" s="2">
        <v>0</v>
      </c>
      <c r="Q80" s="2">
        <v>5043</v>
      </c>
      <c r="R80" s="2">
        <v>757</v>
      </c>
      <c r="S80" s="2">
        <v>0</v>
      </c>
      <c r="T80" s="2">
        <v>0</v>
      </c>
      <c r="U80" s="2">
        <v>0</v>
      </c>
      <c r="V80" s="2">
        <v>5800</v>
      </c>
      <c r="W80" s="2">
        <v>56</v>
      </c>
      <c r="X80" s="2">
        <v>26</v>
      </c>
    </row>
    <row r="81" spans="1:24" x14ac:dyDescent="0.35">
      <c r="A81" s="2">
        <v>10</v>
      </c>
      <c r="B81" s="2">
        <v>921064</v>
      </c>
      <c r="C81" s="2">
        <v>3</v>
      </c>
      <c r="D81" s="2">
        <v>4</v>
      </c>
      <c r="E81" s="2">
        <v>20250411</v>
      </c>
      <c r="F81" s="2">
        <v>202504</v>
      </c>
      <c r="G81" s="2" t="s">
        <v>545</v>
      </c>
      <c r="H81" s="2" t="s">
        <v>545</v>
      </c>
      <c r="I81" s="2"/>
      <c r="J81" s="2">
        <v>4201072315</v>
      </c>
      <c r="K81" s="2" t="s">
        <v>5</v>
      </c>
      <c r="L81" s="2" t="s">
        <v>546</v>
      </c>
      <c r="M81" s="6">
        <v>45863.549305555556</v>
      </c>
      <c r="N81" s="2">
        <v>1</v>
      </c>
      <c r="O81" s="2">
        <v>66000</v>
      </c>
      <c r="P81" s="2">
        <v>-2174</v>
      </c>
      <c r="Q81" s="2">
        <v>63826</v>
      </c>
      <c r="R81" s="2">
        <v>9574</v>
      </c>
      <c r="S81" s="2">
        <v>0</v>
      </c>
      <c r="T81" s="2">
        <v>15845</v>
      </c>
      <c r="U81" s="2">
        <v>410</v>
      </c>
      <c r="V81" s="2">
        <v>89655</v>
      </c>
      <c r="W81" s="2">
        <v>46</v>
      </c>
      <c r="X81" s="2">
        <v>25</v>
      </c>
    </row>
    <row r="82" spans="1:24" x14ac:dyDescent="0.35">
      <c r="A82" s="2">
        <v>3</v>
      </c>
      <c r="B82" s="2">
        <v>432688</v>
      </c>
      <c r="C82" s="2">
        <v>10</v>
      </c>
      <c r="D82" s="2">
        <v>2</v>
      </c>
      <c r="E82" s="2">
        <v>20240508</v>
      </c>
      <c r="F82" s="2">
        <v>202405</v>
      </c>
      <c r="G82" s="2" t="s">
        <v>548</v>
      </c>
      <c r="H82" s="2" t="s">
        <v>549</v>
      </c>
      <c r="I82" s="2"/>
      <c r="J82" s="2">
        <v>4600016661</v>
      </c>
      <c r="K82" s="2" t="s">
        <v>5</v>
      </c>
      <c r="L82" s="2" t="s">
        <v>546</v>
      </c>
      <c r="M82" s="6">
        <v>45863.549305555556</v>
      </c>
      <c r="N82" s="2">
        <v>1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18</v>
      </c>
      <c r="X82" s="2">
        <v>18</v>
      </c>
    </row>
    <row r="83" spans="1:24" x14ac:dyDescent="0.35">
      <c r="A83" s="2">
        <v>3</v>
      </c>
      <c r="B83" s="2">
        <v>770375</v>
      </c>
      <c r="C83" s="2">
        <v>11</v>
      </c>
      <c r="D83" s="2">
        <v>7</v>
      </c>
      <c r="E83" s="2">
        <v>20240502</v>
      </c>
      <c r="F83" s="2">
        <v>202405</v>
      </c>
      <c r="G83" s="2" t="s">
        <v>548</v>
      </c>
      <c r="H83" s="2" t="s">
        <v>549</v>
      </c>
      <c r="I83" s="2"/>
      <c r="J83" s="2">
        <v>4600016201</v>
      </c>
      <c r="K83" s="2" t="s">
        <v>5</v>
      </c>
      <c r="L83" s="2" t="s">
        <v>546</v>
      </c>
      <c r="M83" s="6">
        <v>45863.549305555556</v>
      </c>
      <c r="N83" s="2">
        <v>1</v>
      </c>
      <c r="O83" s="2">
        <v>957</v>
      </c>
      <c r="P83" s="2">
        <v>0</v>
      </c>
      <c r="Q83" s="2">
        <v>957</v>
      </c>
      <c r="R83" s="2">
        <v>144</v>
      </c>
      <c r="S83" s="2">
        <v>0</v>
      </c>
      <c r="T83" s="2">
        <v>0</v>
      </c>
      <c r="U83" s="2">
        <v>0</v>
      </c>
      <c r="V83" s="2">
        <v>1101</v>
      </c>
      <c r="W83" s="2">
        <v>86</v>
      </c>
      <c r="X83" s="2">
        <v>8</v>
      </c>
    </row>
    <row r="84" spans="1:24" x14ac:dyDescent="0.35">
      <c r="A84" s="2">
        <v>8</v>
      </c>
      <c r="B84" s="2">
        <v>1387626</v>
      </c>
      <c r="C84" s="2">
        <v>14</v>
      </c>
      <c r="D84" s="2">
        <v>6</v>
      </c>
      <c r="E84" s="2">
        <v>20230806</v>
      </c>
      <c r="F84" s="2">
        <v>202308</v>
      </c>
      <c r="G84" s="2" t="s">
        <v>547</v>
      </c>
      <c r="H84" s="2" t="s">
        <v>547</v>
      </c>
      <c r="I84" s="2"/>
      <c r="J84" s="2">
        <v>4102657120</v>
      </c>
      <c r="K84" s="2" t="s">
        <v>5</v>
      </c>
      <c r="L84" s="2" t="s">
        <v>546</v>
      </c>
      <c r="M84" s="6">
        <v>45863.549305555556</v>
      </c>
      <c r="N84" s="2">
        <v>1</v>
      </c>
      <c r="O84" s="2">
        <v>44286</v>
      </c>
      <c r="P84" s="2">
        <v>-3543</v>
      </c>
      <c r="Q84" s="2">
        <v>40743</v>
      </c>
      <c r="R84" s="2">
        <v>2037</v>
      </c>
      <c r="S84" s="2">
        <v>0</v>
      </c>
      <c r="T84" s="2">
        <v>0</v>
      </c>
      <c r="U84" s="2">
        <v>0</v>
      </c>
      <c r="V84" s="2">
        <v>42780</v>
      </c>
      <c r="W84" s="2">
        <v>82</v>
      </c>
      <c r="X84" s="2">
        <v>12</v>
      </c>
    </row>
    <row r="85" spans="1:24" x14ac:dyDescent="0.35">
      <c r="A85" s="2">
        <v>3</v>
      </c>
      <c r="B85" s="2">
        <v>1569108</v>
      </c>
      <c r="C85" s="2">
        <v>11</v>
      </c>
      <c r="D85" s="2">
        <v>7</v>
      </c>
      <c r="E85" s="2">
        <v>20240626</v>
      </c>
      <c r="F85" s="2">
        <v>202406</v>
      </c>
      <c r="G85" s="2" t="s">
        <v>548</v>
      </c>
      <c r="H85" s="2" t="s">
        <v>549</v>
      </c>
      <c r="I85" s="2"/>
      <c r="J85" s="2">
        <v>4600020018</v>
      </c>
      <c r="K85" s="2" t="s">
        <v>5</v>
      </c>
      <c r="L85" s="2" t="s">
        <v>546</v>
      </c>
      <c r="M85" s="6">
        <v>45863.549305555556</v>
      </c>
      <c r="N85" s="2">
        <v>1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9</v>
      </c>
      <c r="X85" s="2">
        <v>31</v>
      </c>
    </row>
    <row r="86" spans="1:24" x14ac:dyDescent="0.35">
      <c r="A86" s="2">
        <v>6</v>
      </c>
      <c r="B86" s="2">
        <v>1205988</v>
      </c>
      <c r="C86" s="2">
        <v>13</v>
      </c>
      <c r="D86" s="2">
        <v>6</v>
      </c>
      <c r="E86" s="2">
        <v>20240606</v>
      </c>
      <c r="F86" s="2">
        <v>202406</v>
      </c>
      <c r="G86" s="2" t="s">
        <v>547</v>
      </c>
      <c r="H86" s="2" t="s">
        <v>547</v>
      </c>
      <c r="I86" s="2"/>
      <c r="J86" s="2">
        <v>4102736900</v>
      </c>
      <c r="K86" s="2" t="s">
        <v>5</v>
      </c>
      <c r="L86" s="2" t="s">
        <v>546</v>
      </c>
      <c r="M86" s="6">
        <v>45863.549305555556</v>
      </c>
      <c r="N86" s="2">
        <v>1</v>
      </c>
      <c r="O86" s="2">
        <v>48476</v>
      </c>
      <c r="P86" s="2">
        <v>-4124</v>
      </c>
      <c r="Q86" s="2">
        <v>44352</v>
      </c>
      <c r="R86" s="2">
        <v>2218</v>
      </c>
      <c r="S86" s="2">
        <v>0</v>
      </c>
      <c r="T86" s="2">
        <v>0</v>
      </c>
      <c r="U86" s="2">
        <v>0</v>
      </c>
      <c r="V86" s="2">
        <v>46570</v>
      </c>
      <c r="W86" s="2">
        <v>68</v>
      </c>
      <c r="X86" s="2">
        <v>11</v>
      </c>
    </row>
    <row r="87" spans="1:24" x14ac:dyDescent="0.35">
      <c r="A87" s="2">
        <v>3</v>
      </c>
      <c r="B87" s="2">
        <v>1573291</v>
      </c>
      <c r="C87" s="2">
        <v>10</v>
      </c>
      <c r="D87" s="2">
        <v>2</v>
      </c>
      <c r="E87" s="2">
        <v>20240122</v>
      </c>
      <c r="F87" s="2">
        <v>202401</v>
      </c>
      <c r="G87" s="2" t="s">
        <v>548</v>
      </c>
      <c r="H87" s="2" t="s">
        <v>549</v>
      </c>
      <c r="I87" s="2"/>
      <c r="J87" s="2">
        <v>4600014268</v>
      </c>
      <c r="K87" s="2" t="s">
        <v>5</v>
      </c>
      <c r="L87" s="2" t="s">
        <v>546</v>
      </c>
      <c r="M87" s="6">
        <v>45863.549305555556</v>
      </c>
      <c r="N87" s="2">
        <v>1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71</v>
      </c>
      <c r="X87" s="2">
        <v>26</v>
      </c>
    </row>
    <row r="88" spans="1:24" x14ac:dyDescent="0.35">
      <c r="A88" s="2">
        <v>3</v>
      </c>
      <c r="B88" s="2">
        <v>54590</v>
      </c>
      <c r="C88" s="2">
        <v>2</v>
      </c>
      <c r="D88" s="2">
        <v>1</v>
      </c>
      <c r="E88" s="2">
        <v>20240818</v>
      </c>
      <c r="F88" s="2">
        <v>202408</v>
      </c>
      <c r="G88" s="2" t="s">
        <v>548</v>
      </c>
      <c r="H88" s="2" t="s">
        <v>549</v>
      </c>
      <c r="I88" s="2"/>
      <c r="J88" s="2">
        <v>4600020789</v>
      </c>
      <c r="K88" s="2" t="s">
        <v>5</v>
      </c>
      <c r="L88" s="2" t="s">
        <v>546</v>
      </c>
      <c r="M88" s="6">
        <v>45863.549305555556</v>
      </c>
      <c r="N88" s="2">
        <v>1</v>
      </c>
      <c r="O88" s="2">
        <v>6087</v>
      </c>
      <c r="P88" s="2">
        <v>0</v>
      </c>
      <c r="Q88" s="2">
        <v>6087</v>
      </c>
      <c r="R88" s="2">
        <v>913</v>
      </c>
      <c r="S88" s="2">
        <v>0</v>
      </c>
      <c r="T88" s="2">
        <v>0</v>
      </c>
      <c r="U88" s="2">
        <v>0</v>
      </c>
      <c r="V88" s="2">
        <v>7000</v>
      </c>
      <c r="W88" s="2">
        <v>28</v>
      </c>
      <c r="X88" s="2">
        <v>18</v>
      </c>
    </row>
    <row r="89" spans="1:24" x14ac:dyDescent="0.35">
      <c r="A89" s="2">
        <v>7</v>
      </c>
      <c r="B89" s="2">
        <v>1082927</v>
      </c>
      <c r="C89" s="2">
        <v>7</v>
      </c>
      <c r="D89" s="2">
        <v>5</v>
      </c>
      <c r="E89" s="2">
        <v>20240407</v>
      </c>
      <c r="F89" s="2">
        <v>202404</v>
      </c>
      <c r="G89" s="2" t="s">
        <v>545</v>
      </c>
      <c r="H89" s="2" t="s">
        <v>545</v>
      </c>
      <c r="I89" s="2"/>
      <c r="J89" s="2">
        <v>4200984835</v>
      </c>
      <c r="K89" s="2" t="s">
        <v>5</v>
      </c>
      <c r="L89" s="2" t="s">
        <v>546</v>
      </c>
      <c r="M89" s="6">
        <v>45863.549305555556</v>
      </c>
      <c r="N89" s="2">
        <v>1</v>
      </c>
      <c r="O89" s="2">
        <v>70952</v>
      </c>
      <c r="P89" s="2">
        <v>-5328</v>
      </c>
      <c r="Q89" s="2">
        <v>65624</v>
      </c>
      <c r="R89" s="2">
        <v>3281</v>
      </c>
      <c r="S89" s="2">
        <v>0</v>
      </c>
      <c r="T89" s="2">
        <v>17030</v>
      </c>
      <c r="U89" s="2">
        <v>440</v>
      </c>
      <c r="V89" s="2">
        <v>86375</v>
      </c>
      <c r="W89" s="2">
        <v>86</v>
      </c>
      <c r="X89" s="2">
        <v>18</v>
      </c>
    </row>
    <row r="90" spans="1:24" x14ac:dyDescent="0.35">
      <c r="A90" s="2">
        <v>1</v>
      </c>
      <c r="B90" s="2">
        <v>1964431</v>
      </c>
      <c r="C90" s="2">
        <v>13</v>
      </c>
      <c r="D90" s="2">
        <v>6</v>
      </c>
      <c r="E90" s="2">
        <v>20240401</v>
      </c>
      <c r="F90" s="2">
        <v>202404</v>
      </c>
      <c r="G90" s="2" t="s">
        <v>545</v>
      </c>
      <c r="H90" s="2" t="s">
        <v>545</v>
      </c>
      <c r="I90" s="2"/>
      <c r="J90" s="2">
        <v>4200982090</v>
      </c>
      <c r="K90" s="2" t="s">
        <v>5</v>
      </c>
      <c r="L90" s="2" t="s">
        <v>546</v>
      </c>
      <c r="M90" s="6">
        <v>45863.549305555556</v>
      </c>
      <c r="N90" s="2">
        <v>1</v>
      </c>
      <c r="O90" s="2">
        <v>48476</v>
      </c>
      <c r="P90" s="2">
        <v>-4852</v>
      </c>
      <c r="Q90" s="2">
        <v>43624</v>
      </c>
      <c r="R90" s="2">
        <v>2181</v>
      </c>
      <c r="S90" s="2">
        <v>0</v>
      </c>
      <c r="T90" s="2">
        <v>11635</v>
      </c>
      <c r="U90" s="2">
        <v>310</v>
      </c>
      <c r="V90" s="2">
        <v>57750</v>
      </c>
      <c r="W90" s="2">
        <v>38</v>
      </c>
      <c r="X90" s="2">
        <v>7</v>
      </c>
    </row>
    <row r="91" spans="1:24" x14ac:dyDescent="0.35">
      <c r="A91" s="2">
        <v>10</v>
      </c>
      <c r="B91" s="2">
        <v>465794</v>
      </c>
      <c r="C91" s="2">
        <v>15</v>
      </c>
      <c r="D91" s="2">
        <v>6</v>
      </c>
      <c r="E91" s="2">
        <v>20231001</v>
      </c>
      <c r="F91" s="2">
        <v>202310</v>
      </c>
      <c r="G91" s="2" t="s">
        <v>545</v>
      </c>
      <c r="H91" s="2" t="s">
        <v>545</v>
      </c>
      <c r="I91" s="2"/>
      <c r="J91" s="2">
        <v>4200948965</v>
      </c>
      <c r="K91" s="2" t="s">
        <v>5</v>
      </c>
      <c r="L91" s="2" t="s">
        <v>546</v>
      </c>
      <c r="M91" s="6">
        <v>45863.549305555556</v>
      </c>
      <c r="N91" s="2">
        <v>1</v>
      </c>
      <c r="O91" s="2">
        <v>85619</v>
      </c>
      <c r="P91" s="2">
        <v>-1719</v>
      </c>
      <c r="Q91" s="2">
        <v>83900</v>
      </c>
      <c r="R91" s="2">
        <v>4195</v>
      </c>
      <c r="S91" s="2">
        <v>0</v>
      </c>
      <c r="T91" s="2">
        <v>20550</v>
      </c>
      <c r="U91" s="2">
        <v>540</v>
      </c>
      <c r="V91" s="2">
        <v>109185</v>
      </c>
      <c r="W91" s="2">
        <v>65</v>
      </c>
      <c r="X91" s="2">
        <v>12</v>
      </c>
    </row>
    <row r="92" spans="1:24" x14ac:dyDescent="0.35">
      <c r="A92" s="2">
        <v>8</v>
      </c>
      <c r="B92" s="2">
        <v>2230870</v>
      </c>
      <c r="C92" s="2">
        <v>7</v>
      </c>
      <c r="D92" s="2">
        <v>5</v>
      </c>
      <c r="E92" s="2">
        <v>20250323</v>
      </c>
      <c r="F92" s="2">
        <v>202503</v>
      </c>
      <c r="G92" s="2" t="s">
        <v>547</v>
      </c>
      <c r="H92" s="2" t="s">
        <v>547</v>
      </c>
      <c r="I92" s="2"/>
      <c r="J92" s="2">
        <v>4102802143</v>
      </c>
      <c r="K92" s="2" t="s">
        <v>5</v>
      </c>
      <c r="L92" s="2" t="s">
        <v>546</v>
      </c>
      <c r="M92" s="6">
        <v>45863.549305555556</v>
      </c>
      <c r="N92" s="2">
        <v>1</v>
      </c>
      <c r="O92" s="2">
        <v>72279</v>
      </c>
      <c r="P92" s="2">
        <v>-6326</v>
      </c>
      <c r="Q92" s="2">
        <v>65953</v>
      </c>
      <c r="R92" s="2">
        <v>4947</v>
      </c>
      <c r="S92" s="2">
        <v>0</v>
      </c>
      <c r="T92" s="2">
        <v>0</v>
      </c>
      <c r="U92" s="2">
        <v>0</v>
      </c>
      <c r="V92" s="2">
        <v>70900</v>
      </c>
      <c r="W92" s="2">
        <v>51</v>
      </c>
      <c r="X92" s="2">
        <v>6</v>
      </c>
    </row>
    <row r="93" spans="1:24" x14ac:dyDescent="0.35">
      <c r="A93" s="2">
        <v>8</v>
      </c>
      <c r="B93" s="2">
        <v>59497</v>
      </c>
      <c r="C93" s="2">
        <v>6</v>
      </c>
      <c r="D93" s="2">
        <v>8</v>
      </c>
      <c r="E93" s="2">
        <v>20240614</v>
      </c>
      <c r="F93" s="2">
        <v>202406</v>
      </c>
      <c r="G93" s="2" t="s">
        <v>545</v>
      </c>
      <c r="H93" s="2" t="s">
        <v>545</v>
      </c>
      <c r="I93" s="2"/>
      <c r="J93" s="2">
        <v>4201015671</v>
      </c>
      <c r="K93" s="2" t="s">
        <v>5</v>
      </c>
      <c r="L93" s="2" t="s">
        <v>546</v>
      </c>
      <c r="M93" s="6">
        <v>45863.549305555556</v>
      </c>
      <c r="N93" s="2">
        <v>1</v>
      </c>
      <c r="O93" s="2">
        <v>64339</v>
      </c>
      <c r="P93" s="2">
        <v>-5474</v>
      </c>
      <c r="Q93" s="2">
        <v>58865</v>
      </c>
      <c r="R93" s="2">
        <v>8830</v>
      </c>
      <c r="S93" s="2">
        <v>0</v>
      </c>
      <c r="T93" s="2">
        <v>15445</v>
      </c>
      <c r="U93" s="2">
        <v>400</v>
      </c>
      <c r="V93" s="2">
        <v>83540</v>
      </c>
      <c r="W93" s="2">
        <v>100</v>
      </c>
      <c r="X93" s="2">
        <v>22</v>
      </c>
    </row>
    <row r="94" spans="1:24" x14ac:dyDescent="0.35">
      <c r="A94" s="2">
        <v>3</v>
      </c>
      <c r="B94" s="2">
        <v>286000</v>
      </c>
      <c r="C94" s="2">
        <v>1</v>
      </c>
      <c r="D94" s="2">
        <v>2</v>
      </c>
      <c r="E94" s="2">
        <v>20250325</v>
      </c>
      <c r="F94" s="2">
        <v>202503</v>
      </c>
      <c r="G94" s="2" t="s">
        <v>548</v>
      </c>
      <c r="H94" s="2" t="s">
        <v>549</v>
      </c>
      <c r="I94" s="2"/>
      <c r="J94" s="2">
        <v>4600025843</v>
      </c>
      <c r="K94" s="2" t="s">
        <v>5</v>
      </c>
      <c r="L94" s="2" t="s">
        <v>546</v>
      </c>
      <c r="M94" s="6">
        <v>45863.549305555556</v>
      </c>
      <c r="N94" s="2">
        <v>1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92</v>
      </c>
      <c r="X94" s="2">
        <v>17</v>
      </c>
    </row>
    <row r="95" spans="1:24" x14ac:dyDescent="0.35">
      <c r="A95" s="2">
        <v>3</v>
      </c>
      <c r="B95" s="2">
        <v>1180771</v>
      </c>
      <c r="C95" s="2">
        <v>1</v>
      </c>
      <c r="D95" s="2">
        <v>2</v>
      </c>
      <c r="E95" s="2">
        <v>20240725</v>
      </c>
      <c r="F95" s="2">
        <v>202407</v>
      </c>
      <c r="G95" s="2" t="s">
        <v>548</v>
      </c>
      <c r="H95" s="2" t="s">
        <v>549</v>
      </c>
      <c r="I95" s="2"/>
      <c r="J95" s="2">
        <v>4600020526</v>
      </c>
      <c r="K95" s="2" t="s">
        <v>5</v>
      </c>
      <c r="L95" s="2" t="s">
        <v>546</v>
      </c>
      <c r="M95" s="6">
        <v>45863.549305555556</v>
      </c>
      <c r="N95" s="2">
        <v>1</v>
      </c>
      <c r="O95" s="2">
        <v>1565</v>
      </c>
      <c r="P95" s="2">
        <v>0</v>
      </c>
      <c r="Q95" s="2">
        <v>1565</v>
      </c>
      <c r="R95" s="2">
        <v>235</v>
      </c>
      <c r="S95" s="2">
        <v>0</v>
      </c>
      <c r="T95" s="2">
        <v>0</v>
      </c>
      <c r="U95" s="2">
        <v>0</v>
      </c>
      <c r="V95" s="2">
        <v>1800</v>
      </c>
      <c r="W95" s="2">
        <v>63</v>
      </c>
      <c r="X95" s="2">
        <v>12</v>
      </c>
    </row>
    <row r="96" spans="1:24" x14ac:dyDescent="0.35">
      <c r="A96" s="2">
        <v>4</v>
      </c>
      <c r="B96" s="2">
        <v>189539</v>
      </c>
      <c r="C96" s="2">
        <v>2</v>
      </c>
      <c r="D96" s="2">
        <v>1</v>
      </c>
      <c r="E96" s="2">
        <v>20230731</v>
      </c>
      <c r="F96" s="2">
        <v>202307</v>
      </c>
      <c r="G96" s="2" t="s">
        <v>547</v>
      </c>
      <c r="H96" s="2" t="s">
        <v>547</v>
      </c>
      <c r="I96" s="2"/>
      <c r="J96" s="2">
        <v>4102655585</v>
      </c>
      <c r="K96" s="2" t="s">
        <v>5</v>
      </c>
      <c r="L96" s="2" t="s">
        <v>546</v>
      </c>
      <c r="M96" s="6">
        <v>45863.549305555556</v>
      </c>
      <c r="N96" s="2">
        <v>1</v>
      </c>
      <c r="O96" s="2">
        <v>22174</v>
      </c>
      <c r="P96" s="2">
        <v>-1109</v>
      </c>
      <c r="Q96" s="2">
        <v>21065</v>
      </c>
      <c r="R96" s="2">
        <v>3160</v>
      </c>
      <c r="S96" s="2">
        <v>0</v>
      </c>
      <c r="T96" s="2">
        <v>0</v>
      </c>
      <c r="U96" s="2">
        <v>0</v>
      </c>
      <c r="V96" s="2">
        <v>24225</v>
      </c>
      <c r="W96" s="2">
        <v>65</v>
      </c>
      <c r="X96" s="2">
        <v>6</v>
      </c>
    </row>
    <row r="97" spans="1:24" x14ac:dyDescent="0.35">
      <c r="A97" s="2">
        <v>1</v>
      </c>
      <c r="B97" s="2">
        <v>585063</v>
      </c>
      <c r="C97" s="2">
        <v>7</v>
      </c>
      <c r="D97" s="2">
        <v>5</v>
      </c>
      <c r="E97" s="2">
        <v>20240425</v>
      </c>
      <c r="F97" s="2">
        <v>202404</v>
      </c>
      <c r="G97" s="2" t="s">
        <v>547</v>
      </c>
      <c r="H97" s="2" t="s">
        <v>547</v>
      </c>
      <c r="I97" s="2"/>
      <c r="J97" s="2">
        <v>4102723437</v>
      </c>
      <c r="K97" s="2" t="s">
        <v>5</v>
      </c>
      <c r="L97" s="2" t="s">
        <v>546</v>
      </c>
      <c r="M97" s="6">
        <v>45863.549305555556</v>
      </c>
      <c r="N97" s="2">
        <v>1</v>
      </c>
      <c r="O97" s="2">
        <v>70952</v>
      </c>
      <c r="P97" s="2">
        <v>-8871</v>
      </c>
      <c r="Q97" s="2">
        <v>62081</v>
      </c>
      <c r="R97" s="2">
        <v>3104</v>
      </c>
      <c r="S97" s="2">
        <v>0</v>
      </c>
      <c r="T97" s="2">
        <v>0</v>
      </c>
      <c r="U97" s="2">
        <v>0</v>
      </c>
      <c r="V97" s="2">
        <v>65185</v>
      </c>
      <c r="W97" s="2">
        <v>32</v>
      </c>
      <c r="X97" s="2">
        <v>24</v>
      </c>
    </row>
    <row r="98" spans="1:24" x14ac:dyDescent="0.35">
      <c r="A98" s="2">
        <v>3</v>
      </c>
      <c r="B98" s="2">
        <v>1184843</v>
      </c>
      <c r="C98" s="2">
        <v>10</v>
      </c>
      <c r="D98" s="2">
        <v>2</v>
      </c>
      <c r="E98" s="2">
        <v>20240310</v>
      </c>
      <c r="F98" s="2">
        <v>202403</v>
      </c>
      <c r="G98" s="2" t="s">
        <v>548</v>
      </c>
      <c r="H98" s="2" t="s">
        <v>549</v>
      </c>
      <c r="I98" s="2"/>
      <c r="J98" s="2">
        <v>4600014865</v>
      </c>
      <c r="K98" s="2" t="s">
        <v>5</v>
      </c>
      <c r="L98" s="2" t="s">
        <v>546</v>
      </c>
      <c r="M98" s="6">
        <v>45863.549305555556</v>
      </c>
      <c r="N98" s="2">
        <v>1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49</v>
      </c>
      <c r="X98" s="2">
        <v>16</v>
      </c>
    </row>
    <row r="99" spans="1:24" x14ac:dyDescent="0.35">
      <c r="A99" s="2">
        <v>5</v>
      </c>
      <c r="B99" s="2">
        <v>2244662</v>
      </c>
      <c r="C99" s="2">
        <v>14</v>
      </c>
      <c r="D99" s="2">
        <v>6</v>
      </c>
      <c r="E99" s="2">
        <v>20250306</v>
      </c>
      <c r="F99" s="2">
        <v>202503</v>
      </c>
      <c r="G99" s="2" t="s">
        <v>545</v>
      </c>
      <c r="H99" s="2" t="s">
        <v>545</v>
      </c>
      <c r="I99" s="2"/>
      <c r="J99" s="2">
        <v>4201062422</v>
      </c>
      <c r="K99" s="2" t="s">
        <v>5</v>
      </c>
      <c r="L99" s="2" t="s">
        <v>546</v>
      </c>
      <c r="M99" s="6">
        <v>45863.549305555556</v>
      </c>
      <c r="N99" s="2">
        <v>1</v>
      </c>
      <c r="O99" s="2">
        <v>47163</v>
      </c>
      <c r="P99" s="2">
        <v>-3210</v>
      </c>
      <c r="Q99" s="2">
        <v>43953</v>
      </c>
      <c r="R99" s="2">
        <v>3297</v>
      </c>
      <c r="S99" s="2">
        <v>0</v>
      </c>
      <c r="T99" s="2">
        <v>11320</v>
      </c>
      <c r="U99" s="2">
        <v>300</v>
      </c>
      <c r="V99" s="2">
        <v>58870</v>
      </c>
      <c r="W99" s="2">
        <v>60</v>
      </c>
      <c r="X99" s="2">
        <v>13</v>
      </c>
    </row>
    <row r="100" spans="1:24" x14ac:dyDescent="0.35">
      <c r="A100" s="2">
        <v>4</v>
      </c>
      <c r="B100" s="2">
        <v>1998420</v>
      </c>
      <c r="C100" s="2">
        <v>13</v>
      </c>
      <c r="D100" s="2">
        <v>6</v>
      </c>
      <c r="E100" s="2">
        <v>20250605</v>
      </c>
      <c r="F100" s="2">
        <v>202506</v>
      </c>
      <c r="G100" s="2" t="s">
        <v>545</v>
      </c>
      <c r="H100" s="2" t="s">
        <v>545</v>
      </c>
      <c r="I100" s="2"/>
      <c r="J100" s="2">
        <v>4201092075</v>
      </c>
      <c r="K100" s="2" t="s">
        <v>5</v>
      </c>
      <c r="L100" s="2" t="s">
        <v>546</v>
      </c>
      <c r="M100" s="6">
        <v>45863.549305555556</v>
      </c>
      <c r="N100" s="2">
        <v>1</v>
      </c>
      <c r="O100" s="2">
        <v>48279</v>
      </c>
      <c r="P100" s="2">
        <v>-2791</v>
      </c>
      <c r="Q100" s="2">
        <v>45488</v>
      </c>
      <c r="R100" s="2">
        <v>3412</v>
      </c>
      <c r="S100" s="2">
        <v>0</v>
      </c>
      <c r="T100" s="2">
        <v>11590</v>
      </c>
      <c r="U100" s="2">
        <v>300</v>
      </c>
      <c r="V100" s="2">
        <v>60790</v>
      </c>
      <c r="W100" s="2">
        <v>73</v>
      </c>
      <c r="X100" s="2">
        <v>12</v>
      </c>
    </row>
    <row r="101" spans="1:24" x14ac:dyDescent="0.35">
      <c r="A101" s="2">
        <v>3</v>
      </c>
      <c r="B101" s="2">
        <v>1728236</v>
      </c>
      <c r="C101" s="2">
        <v>10</v>
      </c>
      <c r="D101" s="2">
        <v>2</v>
      </c>
      <c r="E101" s="2">
        <v>20240215</v>
      </c>
      <c r="F101" s="2">
        <v>202402</v>
      </c>
      <c r="G101" s="2" t="s">
        <v>548</v>
      </c>
      <c r="H101" s="2" t="s">
        <v>549</v>
      </c>
      <c r="I101" s="2"/>
      <c r="J101" s="2">
        <v>4600014579</v>
      </c>
      <c r="K101" s="2" t="s">
        <v>5</v>
      </c>
      <c r="L101" s="2" t="s">
        <v>546</v>
      </c>
      <c r="M101" s="6">
        <v>45863.549305555556</v>
      </c>
      <c r="N101" s="2">
        <v>1</v>
      </c>
      <c r="O101" s="2">
        <v>9</v>
      </c>
      <c r="P101" s="2">
        <v>0</v>
      </c>
      <c r="Q101" s="2">
        <v>9</v>
      </c>
      <c r="R101" s="2">
        <v>1</v>
      </c>
      <c r="S101" s="2">
        <v>0</v>
      </c>
      <c r="T101" s="2">
        <v>0</v>
      </c>
      <c r="U101" s="2">
        <v>0</v>
      </c>
      <c r="V101" s="2">
        <v>10</v>
      </c>
      <c r="W101" s="2">
        <v>14</v>
      </c>
      <c r="X101" s="2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FA396-2E9A-408C-B6B3-EFE2B831C6CB}">
  <dimension ref="A1:I101"/>
  <sheetViews>
    <sheetView workbookViewId="0"/>
  </sheetViews>
  <sheetFormatPr defaultRowHeight="14.5" x14ac:dyDescent="0.35"/>
  <cols>
    <col min="1" max="1" width="11.90625" bestFit="1" customWidth="1"/>
    <col min="2" max="2" width="10.90625" bestFit="1" customWidth="1"/>
    <col min="3" max="3" width="14.7265625" bestFit="1" customWidth="1"/>
    <col min="4" max="4" width="10.08984375" bestFit="1" customWidth="1"/>
    <col min="5" max="5" width="20.7265625" bestFit="1" customWidth="1"/>
    <col min="6" max="6" width="20" bestFit="1" customWidth="1"/>
    <col min="7" max="7" width="13.54296875" bestFit="1" customWidth="1"/>
    <col min="8" max="8" width="16.90625" bestFit="1" customWidth="1"/>
    <col min="9" max="9" width="14.54296875" bestFit="1" customWidth="1"/>
  </cols>
  <sheetData>
    <row r="1" spans="1:9" ht="23.5" x14ac:dyDescent="0.35">
      <c r="A1" s="1" t="s">
        <v>0</v>
      </c>
      <c r="B1" s="1" t="s">
        <v>523</v>
      </c>
      <c r="C1" s="1" t="s">
        <v>551</v>
      </c>
      <c r="D1" s="1" t="s">
        <v>2</v>
      </c>
      <c r="E1" s="1" t="s">
        <v>552</v>
      </c>
      <c r="F1" s="1" t="s">
        <v>553</v>
      </c>
      <c r="G1" s="1" t="s">
        <v>554</v>
      </c>
      <c r="H1" s="1" t="s">
        <v>556</v>
      </c>
      <c r="I1" s="1" t="s">
        <v>557</v>
      </c>
    </row>
    <row r="2" spans="1:9" x14ac:dyDescent="0.35">
      <c r="A2" s="2">
        <v>20250601</v>
      </c>
      <c r="B2" s="2">
        <v>2</v>
      </c>
      <c r="C2" s="2">
        <v>7</v>
      </c>
      <c r="D2" s="2">
        <v>202506</v>
      </c>
      <c r="E2" s="2">
        <v>29</v>
      </c>
      <c r="F2" s="2">
        <v>1974441.6129999999</v>
      </c>
      <c r="G2" s="2">
        <v>68084.193549999996</v>
      </c>
      <c r="H2" s="2">
        <v>48</v>
      </c>
      <c r="I2" s="2">
        <v>31</v>
      </c>
    </row>
    <row r="3" spans="1:9" x14ac:dyDescent="0.35">
      <c r="A3" s="2">
        <v>20250301</v>
      </c>
      <c r="B3" s="2">
        <v>9</v>
      </c>
      <c r="C3" s="2">
        <v>15</v>
      </c>
      <c r="D3" s="2">
        <v>202503</v>
      </c>
      <c r="E3" s="2">
        <v>4</v>
      </c>
      <c r="F3" s="2">
        <v>350264.6</v>
      </c>
      <c r="G3" s="2">
        <v>87566.15</v>
      </c>
      <c r="H3" s="2">
        <v>27</v>
      </c>
      <c r="I3" s="2">
        <v>15</v>
      </c>
    </row>
    <row r="4" spans="1:9" x14ac:dyDescent="0.35">
      <c r="A4" s="2">
        <v>20250301</v>
      </c>
      <c r="B4" s="2">
        <v>8</v>
      </c>
      <c r="C4" s="2">
        <v>7</v>
      </c>
      <c r="D4" s="2">
        <v>202503</v>
      </c>
      <c r="E4" s="2">
        <v>3</v>
      </c>
      <c r="F4" s="2">
        <v>202557.6471</v>
      </c>
      <c r="G4" s="2">
        <v>67519.215689999997</v>
      </c>
      <c r="H4" s="2">
        <v>19</v>
      </c>
      <c r="I4" s="2">
        <v>20</v>
      </c>
    </row>
    <row r="5" spans="1:9" x14ac:dyDescent="0.35">
      <c r="A5" s="2">
        <v>20250101</v>
      </c>
      <c r="B5" s="2">
        <v>9</v>
      </c>
      <c r="C5" s="2">
        <v>2</v>
      </c>
      <c r="D5" s="2">
        <v>202501</v>
      </c>
      <c r="E5" s="2">
        <v>2</v>
      </c>
      <c r="F5" s="2">
        <v>41794.434780000003</v>
      </c>
      <c r="G5" s="2">
        <v>20897.217390000002</v>
      </c>
      <c r="H5" s="2">
        <v>59</v>
      </c>
      <c r="I5" s="2">
        <v>8</v>
      </c>
    </row>
    <row r="6" spans="1:9" x14ac:dyDescent="0.35">
      <c r="A6" s="2">
        <v>20240601</v>
      </c>
      <c r="B6" s="2">
        <v>8</v>
      </c>
      <c r="C6" s="2">
        <v>3</v>
      </c>
      <c r="D6" s="2">
        <v>202406</v>
      </c>
      <c r="E6" s="2">
        <v>4</v>
      </c>
      <c r="F6" s="2">
        <v>242266.54550000001</v>
      </c>
      <c r="G6" s="2">
        <v>121133.2727</v>
      </c>
      <c r="H6" s="2">
        <v>51</v>
      </c>
      <c r="I6" s="2">
        <v>7</v>
      </c>
    </row>
    <row r="7" spans="1:9" x14ac:dyDescent="0.35">
      <c r="A7" s="2">
        <v>20250601</v>
      </c>
      <c r="B7" s="2">
        <v>4</v>
      </c>
      <c r="C7" s="2">
        <v>7</v>
      </c>
      <c r="D7" s="2">
        <v>202506</v>
      </c>
      <c r="E7" s="2">
        <v>8</v>
      </c>
      <c r="F7" s="2">
        <v>537946.37040000001</v>
      </c>
      <c r="G7" s="2">
        <v>67243.296300000002</v>
      </c>
      <c r="H7" s="2">
        <v>63</v>
      </c>
      <c r="I7" s="2">
        <v>29</v>
      </c>
    </row>
    <row r="8" spans="1:9" x14ac:dyDescent="0.35">
      <c r="A8" s="2">
        <v>20250101</v>
      </c>
      <c r="B8" s="2">
        <v>5</v>
      </c>
      <c r="C8" s="2">
        <v>14</v>
      </c>
      <c r="D8" s="2">
        <v>202501</v>
      </c>
      <c r="E8" s="2">
        <v>2</v>
      </c>
      <c r="F8" s="2">
        <v>88201.90698</v>
      </c>
      <c r="G8" s="2">
        <v>44100.95349</v>
      </c>
      <c r="H8" s="2">
        <v>82</v>
      </c>
      <c r="I8" s="2">
        <v>1</v>
      </c>
    </row>
    <row r="9" spans="1:9" x14ac:dyDescent="0.35">
      <c r="A9" s="2">
        <v>20240601</v>
      </c>
      <c r="B9" s="2">
        <v>2</v>
      </c>
      <c r="C9" s="2">
        <v>14</v>
      </c>
      <c r="D9" s="2">
        <v>202406</v>
      </c>
      <c r="E9" s="2">
        <v>16</v>
      </c>
      <c r="F9" s="2">
        <v>686997.92590000003</v>
      </c>
      <c r="G9" s="2">
        <v>85874.740739999994</v>
      </c>
      <c r="H9" s="2">
        <v>63</v>
      </c>
      <c r="I9" s="2">
        <v>26</v>
      </c>
    </row>
    <row r="10" spans="1:9" x14ac:dyDescent="0.35">
      <c r="A10" s="2">
        <v>20240801</v>
      </c>
      <c r="B10" s="2">
        <v>6</v>
      </c>
      <c r="C10" s="2">
        <v>15</v>
      </c>
      <c r="D10" s="2">
        <v>202408</v>
      </c>
      <c r="E10" s="2">
        <v>1</v>
      </c>
      <c r="F10" s="2">
        <v>85311.722219999996</v>
      </c>
      <c r="G10" s="2">
        <v>85311.722219999996</v>
      </c>
      <c r="H10" s="2">
        <v>27</v>
      </c>
      <c r="I10" s="2">
        <v>9</v>
      </c>
    </row>
    <row r="11" spans="1:9" x14ac:dyDescent="0.35">
      <c r="A11" s="2">
        <v>20240601</v>
      </c>
      <c r="B11" s="2">
        <v>2</v>
      </c>
      <c r="C11" s="2">
        <v>1</v>
      </c>
      <c r="D11" s="2">
        <v>202406</v>
      </c>
      <c r="E11" s="2">
        <v>8</v>
      </c>
      <c r="F11" s="2">
        <v>202292.57139999999</v>
      </c>
      <c r="G11" s="2">
        <v>50573.14286</v>
      </c>
      <c r="H11" s="2">
        <v>25</v>
      </c>
      <c r="I11" s="2">
        <v>25</v>
      </c>
    </row>
    <row r="12" spans="1:9" x14ac:dyDescent="0.35">
      <c r="A12" s="2">
        <v>20250601</v>
      </c>
      <c r="B12" s="2">
        <v>7</v>
      </c>
      <c r="C12" s="2">
        <v>4</v>
      </c>
      <c r="D12" s="2">
        <v>202506</v>
      </c>
      <c r="E12" s="2">
        <v>5</v>
      </c>
      <c r="F12" s="2">
        <v>173730</v>
      </c>
      <c r="G12" s="2">
        <v>34746</v>
      </c>
      <c r="H12" s="2">
        <v>7</v>
      </c>
      <c r="I12" s="2">
        <v>17</v>
      </c>
    </row>
    <row r="13" spans="1:9" x14ac:dyDescent="0.35">
      <c r="A13" s="2">
        <v>20250501</v>
      </c>
      <c r="B13" s="2">
        <v>9</v>
      </c>
      <c r="C13" s="2">
        <v>6</v>
      </c>
      <c r="D13" s="2">
        <v>202505</v>
      </c>
      <c r="E13" s="2">
        <v>1</v>
      </c>
      <c r="F13" s="2">
        <v>59513.833330000001</v>
      </c>
      <c r="G13" s="2">
        <v>59513.833330000001</v>
      </c>
      <c r="H13" s="2">
        <v>76</v>
      </c>
      <c r="I13" s="2">
        <v>7</v>
      </c>
    </row>
    <row r="14" spans="1:9" x14ac:dyDescent="0.35">
      <c r="A14" s="2">
        <v>20250701</v>
      </c>
      <c r="B14" s="2">
        <v>8</v>
      </c>
      <c r="C14" s="2">
        <v>6</v>
      </c>
      <c r="D14" s="2">
        <v>202507</v>
      </c>
      <c r="E14" s="2">
        <v>1</v>
      </c>
      <c r="F14" s="2">
        <v>60010.388890000002</v>
      </c>
      <c r="G14" s="2">
        <v>60010.388890000002</v>
      </c>
      <c r="H14" s="2">
        <v>38</v>
      </c>
      <c r="I14" s="2">
        <v>22</v>
      </c>
    </row>
    <row r="15" spans="1:9" x14ac:dyDescent="0.35">
      <c r="A15" s="2">
        <v>20250601</v>
      </c>
      <c r="B15" s="2">
        <v>1</v>
      </c>
      <c r="C15" s="2">
        <v>7</v>
      </c>
      <c r="D15" s="2">
        <v>202506</v>
      </c>
      <c r="E15" s="2">
        <v>48</v>
      </c>
      <c r="F15" s="2">
        <v>3188459.1839999999</v>
      </c>
      <c r="G15" s="2">
        <v>66426.233009999996</v>
      </c>
      <c r="H15" s="2">
        <v>45</v>
      </c>
      <c r="I15" s="2">
        <v>2</v>
      </c>
    </row>
    <row r="16" spans="1:9" x14ac:dyDescent="0.35">
      <c r="A16" s="2">
        <v>20240501</v>
      </c>
      <c r="B16" s="2">
        <v>4</v>
      </c>
      <c r="C16" s="2">
        <v>8</v>
      </c>
      <c r="D16" s="2">
        <v>202405</v>
      </c>
      <c r="E16" s="2">
        <v>20</v>
      </c>
      <c r="F16" s="2">
        <v>2122476.6669999999</v>
      </c>
      <c r="G16" s="2">
        <v>212247.6667</v>
      </c>
      <c r="H16" s="2">
        <v>60</v>
      </c>
      <c r="I16" s="2">
        <v>3</v>
      </c>
    </row>
    <row r="17" spans="1:9" x14ac:dyDescent="0.35">
      <c r="A17" s="2">
        <v>20250801</v>
      </c>
      <c r="B17" s="2">
        <v>9</v>
      </c>
      <c r="C17" s="2">
        <v>15</v>
      </c>
      <c r="D17" s="2">
        <v>202508</v>
      </c>
      <c r="E17" s="2">
        <v>2</v>
      </c>
      <c r="F17" s="2">
        <v>175132.3</v>
      </c>
      <c r="G17" s="2">
        <v>87566.15</v>
      </c>
      <c r="H17" s="2">
        <v>9</v>
      </c>
      <c r="I17" s="2">
        <v>27</v>
      </c>
    </row>
    <row r="18" spans="1:9" x14ac:dyDescent="0.35">
      <c r="A18" s="2">
        <v>20240301</v>
      </c>
      <c r="B18" s="2">
        <v>8</v>
      </c>
      <c r="C18" s="2">
        <v>11</v>
      </c>
      <c r="D18" s="2">
        <v>202403</v>
      </c>
      <c r="E18" s="2">
        <v>6</v>
      </c>
      <c r="F18" s="2">
        <v>136810.14079999999</v>
      </c>
      <c r="G18" s="2">
        <v>22801.690139999999</v>
      </c>
      <c r="H18" s="2">
        <v>2</v>
      </c>
      <c r="I18" s="2">
        <v>1</v>
      </c>
    </row>
    <row r="19" spans="1:9" x14ac:dyDescent="0.35">
      <c r="A19" s="2">
        <v>20240601</v>
      </c>
      <c r="B19" s="2">
        <v>1</v>
      </c>
      <c r="C19" s="2">
        <v>2</v>
      </c>
      <c r="D19" s="2">
        <v>202406</v>
      </c>
      <c r="E19" s="2">
        <v>10</v>
      </c>
      <c r="F19" s="2">
        <v>209943.3333</v>
      </c>
      <c r="G19" s="2">
        <v>41988.666669999999</v>
      </c>
      <c r="H19" s="2">
        <v>87</v>
      </c>
      <c r="I19" s="2">
        <v>8</v>
      </c>
    </row>
    <row r="20" spans="1:9" x14ac:dyDescent="0.35">
      <c r="A20" s="2">
        <v>20240601</v>
      </c>
      <c r="B20" s="2">
        <v>5</v>
      </c>
      <c r="C20" s="2">
        <v>12</v>
      </c>
      <c r="D20" s="2">
        <v>202406</v>
      </c>
      <c r="E20" s="2">
        <v>10</v>
      </c>
      <c r="F20" s="2">
        <v>413566.3333</v>
      </c>
      <c r="G20" s="2">
        <v>82713.266669999997</v>
      </c>
      <c r="H20" s="2">
        <v>62</v>
      </c>
      <c r="I20" s="2">
        <v>9</v>
      </c>
    </row>
    <row r="21" spans="1:9" x14ac:dyDescent="0.35">
      <c r="A21" s="2">
        <v>20240401</v>
      </c>
      <c r="B21" s="2">
        <v>6</v>
      </c>
      <c r="C21" s="2">
        <v>14</v>
      </c>
      <c r="D21" s="2">
        <v>202404</v>
      </c>
      <c r="E21" s="2">
        <v>4</v>
      </c>
      <c r="F21" s="2">
        <v>173108.13560000001</v>
      </c>
      <c r="G21" s="2">
        <v>86554.067800000004</v>
      </c>
      <c r="H21" s="2">
        <v>41</v>
      </c>
      <c r="I21" s="2">
        <v>16</v>
      </c>
    </row>
    <row r="22" spans="1:9" x14ac:dyDescent="0.35">
      <c r="A22" s="2">
        <v>20240301</v>
      </c>
      <c r="B22" s="2">
        <v>4</v>
      </c>
      <c r="C22" s="2">
        <v>7</v>
      </c>
      <c r="D22" s="2">
        <v>202403</v>
      </c>
      <c r="E22" s="2">
        <v>1</v>
      </c>
      <c r="F22" s="2">
        <v>67140.666670000006</v>
      </c>
      <c r="G22" s="2">
        <v>67140.666670000006</v>
      </c>
      <c r="H22" s="2">
        <v>35</v>
      </c>
      <c r="I22" s="2">
        <v>31</v>
      </c>
    </row>
    <row r="23" spans="1:9" x14ac:dyDescent="0.35">
      <c r="A23" s="2">
        <v>20250501</v>
      </c>
      <c r="B23" s="2">
        <v>9</v>
      </c>
      <c r="C23" s="2">
        <v>12</v>
      </c>
      <c r="D23" s="2">
        <v>202505</v>
      </c>
      <c r="E23" s="2">
        <v>2</v>
      </c>
      <c r="F23" s="2">
        <v>85378</v>
      </c>
      <c r="G23" s="2">
        <v>42689</v>
      </c>
      <c r="H23" s="2">
        <v>53</v>
      </c>
      <c r="I23" s="2">
        <v>5</v>
      </c>
    </row>
    <row r="24" spans="1:9" x14ac:dyDescent="0.35">
      <c r="A24" s="2">
        <v>20250201</v>
      </c>
      <c r="B24" s="2">
        <v>2</v>
      </c>
      <c r="C24" s="2">
        <v>15</v>
      </c>
      <c r="D24" s="2">
        <v>202502</v>
      </c>
      <c r="E24" s="2">
        <v>2</v>
      </c>
      <c r="F24" s="2">
        <v>178187.44829999999</v>
      </c>
      <c r="G24" s="2">
        <v>89093.724140000006</v>
      </c>
      <c r="H24" s="2">
        <v>73</v>
      </c>
      <c r="I24" s="2">
        <v>6</v>
      </c>
    </row>
    <row r="25" spans="1:9" x14ac:dyDescent="0.35">
      <c r="A25" s="2">
        <v>20240701</v>
      </c>
      <c r="B25" s="2">
        <v>9</v>
      </c>
      <c r="C25" s="2">
        <v>2</v>
      </c>
      <c r="D25" s="2">
        <v>202407</v>
      </c>
      <c r="E25" s="2">
        <v>4</v>
      </c>
      <c r="F25" s="2">
        <v>82981.529410000003</v>
      </c>
      <c r="G25" s="2">
        <v>20745.38235</v>
      </c>
      <c r="H25" s="2">
        <v>52</v>
      </c>
      <c r="I25" s="2">
        <v>1</v>
      </c>
    </row>
    <row r="26" spans="1:9" x14ac:dyDescent="0.35">
      <c r="A26" s="2">
        <v>20241101</v>
      </c>
      <c r="B26" s="2">
        <v>10</v>
      </c>
      <c r="C26" s="2">
        <v>6</v>
      </c>
      <c r="D26" s="2">
        <v>202411</v>
      </c>
      <c r="E26" s="2">
        <v>1</v>
      </c>
      <c r="F26" s="2">
        <v>59952.25</v>
      </c>
      <c r="G26" s="2">
        <v>59952.25</v>
      </c>
      <c r="H26" s="2">
        <v>19</v>
      </c>
      <c r="I26" s="2">
        <v>25</v>
      </c>
    </row>
    <row r="27" spans="1:9" x14ac:dyDescent="0.35">
      <c r="A27" s="2">
        <v>20250301</v>
      </c>
      <c r="B27" s="2">
        <v>6</v>
      </c>
      <c r="C27" s="2">
        <v>13</v>
      </c>
      <c r="D27" s="2">
        <v>202503</v>
      </c>
      <c r="E27" s="2">
        <v>10</v>
      </c>
      <c r="F27" s="2">
        <v>451751.97369999997</v>
      </c>
      <c r="G27" s="2">
        <v>45175.197370000002</v>
      </c>
      <c r="H27" s="2">
        <v>16</v>
      </c>
      <c r="I27" s="2">
        <v>26</v>
      </c>
    </row>
    <row r="28" spans="1:9" x14ac:dyDescent="0.35">
      <c r="A28" s="2">
        <v>20250301</v>
      </c>
      <c r="B28" s="2">
        <v>8</v>
      </c>
      <c r="C28" s="2">
        <v>5</v>
      </c>
      <c r="D28" s="2">
        <v>202503</v>
      </c>
      <c r="E28" s="2">
        <v>1</v>
      </c>
      <c r="F28" s="2">
        <v>58791</v>
      </c>
      <c r="G28" s="2">
        <v>58791</v>
      </c>
      <c r="H28" s="2">
        <v>64</v>
      </c>
      <c r="I28" s="2">
        <v>27</v>
      </c>
    </row>
    <row r="29" spans="1:9" x14ac:dyDescent="0.35">
      <c r="A29" s="2">
        <v>20250401</v>
      </c>
      <c r="B29" s="2">
        <v>7</v>
      </c>
      <c r="C29" s="2">
        <v>6</v>
      </c>
      <c r="D29" s="2">
        <v>202504</v>
      </c>
      <c r="E29" s="2">
        <v>8</v>
      </c>
      <c r="F29" s="2">
        <v>477418.59460000001</v>
      </c>
      <c r="G29" s="2">
        <v>59677.32432</v>
      </c>
      <c r="H29" s="2">
        <v>98</v>
      </c>
      <c r="I29" s="2">
        <v>18</v>
      </c>
    </row>
    <row r="30" spans="1:9" x14ac:dyDescent="0.35">
      <c r="A30" s="2">
        <v>20241101</v>
      </c>
      <c r="B30" s="2">
        <v>10</v>
      </c>
      <c r="C30" s="2">
        <v>15</v>
      </c>
      <c r="D30" s="2">
        <v>202411</v>
      </c>
      <c r="E30" s="2">
        <v>2</v>
      </c>
      <c r="F30" s="2">
        <v>169124.6341</v>
      </c>
      <c r="G30" s="2">
        <v>84562.317070000005</v>
      </c>
      <c r="H30" s="2">
        <v>64</v>
      </c>
      <c r="I30" s="2">
        <v>30</v>
      </c>
    </row>
    <row r="31" spans="1:9" x14ac:dyDescent="0.35">
      <c r="A31" s="2">
        <v>20240801</v>
      </c>
      <c r="B31" s="2">
        <v>9</v>
      </c>
      <c r="C31" s="2">
        <v>11</v>
      </c>
      <c r="D31" s="2">
        <v>202408</v>
      </c>
      <c r="E31" s="2">
        <v>4</v>
      </c>
      <c r="F31" s="2">
        <v>91319.652170000001</v>
      </c>
      <c r="G31" s="2">
        <v>22829.913039999999</v>
      </c>
      <c r="H31" s="2">
        <v>1</v>
      </c>
      <c r="I31" s="2">
        <v>16</v>
      </c>
    </row>
    <row r="32" spans="1:9" x14ac:dyDescent="0.35">
      <c r="A32" s="2">
        <v>20240701</v>
      </c>
      <c r="B32" s="2">
        <v>8</v>
      </c>
      <c r="C32" s="2">
        <v>4</v>
      </c>
      <c r="D32" s="2">
        <v>202407</v>
      </c>
      <c r="E32" s="2">
        <v>0</v>
      </c>
      <c r="F32" s="2">
        <v>0</v>
      </c>
      <c r="G32" s="2">
        <v>31752.615379999999</v>
      </c>
      <c r="H32" s="2">
        <v>41</v>
      </c>
      <c r="I32" s="2">
        <v>6</v>
      </c>
    </row>
    <row r="33" spans="1:9" x14ac:dyDescent="0.35">
      <c r="A33" s="2">
        <v>20241201</v>
      </c>
      <c r="B33" s="2">
        <v>5</v>
      </c>
      <c r="C33" s="2">
        <v>6</v>
      </c>
      <c r="D33" s="2">
        <v>202412</v>
      </c>
      <c r="E33" s="2">
        <v>0</v>
      </c>
      <c r="F33" s="2">
        <v>0</v>
      </c>
      <c r="G33" s="2">
        <v>59486.122450000003</v>
      </c>
      <c r="H33" s="2">
        <v>56</v>
      </c>
      <c r="I33" s="2">
        <v>19</v>
      </c>
    </row>
    <row r="34" spans="1:9" x14ac:dyDescent="0.35">
      <c r="A34" s="2">
        <v>20240701</v>
      </c>
      <c r="B34" s="2">
        <v>6</v>
      </c>
      <c r="C34" s="2">
        <v>4</v>
      </c>
      <c r="D34" s="2">
        <v>202407</v>
      </c>
      <c r="E34" s="2">
        <v>0</v>
      </c>
      <c r="F34" s="2">
        <v>0</v>
      </c>
      <c r="G34" s="2">
        <v>31588.263159999999</v>
      </c>
      <c r="H34" s="2">
        <v>71</v>
      </c>
      <c r="I34" s="2">
        <v>27</v>
      </c>
    </row>
    <row r="35" spans="1:9" x14ac:dyDescent="0.35">
      <c r="A35" s="2">
        <v>20241001</v>
      </c>
      <c r="B35" s="2">
        <v>1</v>
      </c>
      <c r="C35" s="2">
        <v>2</v>
      </c>
      <c r="D35" s="2">
        <v>202410</v>
      </c>
      <c r="E35" s="2">
        <v>5</v>
      </c>
      <c r="F35" s="2">
        <v>104945.74069999999</v>
      </c>
      <c r="G35" s="2">
        <v>20989.148150000001</v>
      </c>
      <c r="H35" s="2">
        <v>41</v>
      </c>
      <c r="I35" s="2">
        <v>7</v>
      </c>
    </row>
    <row r="36" spans="1:9" x14ac:dyDescent="0.35">
      <c r="A36" s="2">
        <v>20240401</v>
      </c>
      <c r="B36" s="2">
        <v>7</v>
      </c>
      <c r="C36" s="2">
        <v>10</v>
      </c>
      <c r="D36" s="2">
        <v>202404</v>
      </c>
      <c r="E36" s="2">
        <v>0</v>
      </c>
      <c r="F36" s="2">
        <v>0</v>
      </c>
      <c r="G36" s="2">
        <v>49260</v>
      </c>
      <c r="H36" s="2">
        <v>62</v>
      </c>
      <c r="I36" s="2">
        <v>14</v>
      </c>
    </row>
    <row r="37" spans="1:9" x14ac:dyDescent="0.35">
      <c r="A37" s="2">
        <v>20250601</v>
      </c>
      <c r="B37" s="2">
        <v>1</v>
      </c>
      <c r="C37" s="2">
        <v>15</v>
      </c>
      <c r="D37" s="2">
        <v>202506</v>
      </c>
      <c r="E37" s="2">
        <v>5</v>
      </c>
      <c r="F37" s="2">
        <v>440355.38459999999</v>
      </c>
      <c r="G37" s="2">
        <v>88071.076920000007</v>
      </c>
      <c r="H37" s="2">
        <v>28</v>
      </c>
      <c r="I37" s="2">
        <v>10</v>
      </c>
    </row>
    <row r="38" spans="1:9" x14ac:dyDescent="0.35">
      <c r="A38" s="2">
        <v>20250301</v>
      </c>
      <c r="B38" s="2">
        <v>10</v>
      </c>
      <c r="C38" s="2">
        <v>6</v>
      </c>
      <c r="D38" s="2">
        <v>202503</v>
      </c>
      <c r="E38" s="2">
        <v>3</v>
      </c>
      <c r="F38" s="2">
        <v>179856.75</v>
      </c>
      <c r="G38" s="2">
        <v>59952.25</v>
      </c>
      <c r="H38" s="2">
        <v>2</v>
      </c>
      <c r="I38" s="2">
        <v>4</v>
      </c>
    </row>
    <row r="39" spans="1:9" x14ac:dyDescent="0.35">
      <c r="A39" s="2">
        <v>20250201</v>
      </c>
      <c r="B39" s="2">
        <v>4</v>
      </c>
      <c r="C39" s="2">
        <v>7</v>
      </c>
      <c r="D39" s="2">
        <v>202502</v>
      </c>
      <c r="E39" s="2">
        <v>1</v>
      </c>
      <c r="F39" s="2">
        <v>67243.296300000002</v>
      </c>
      <c r="G39" s="2">
        <v>67243.296300000002</v>
      </c>
      <c r="H39" s="2">
        <v>31</v>
      </c>
      <c r="I39" s="2">
        <v>12</v>
      </c>
    </row>
    <row r="40" spans="1:9" x14ac:dyDescent="0.35">
      <c r="A40" s="2">
        <v>20240101</v>
      </c>
      <c r="B40" s="2">
        <v>2</v>
      </c>
      <c r="C40" s="2">
        <v>3</v>
      </c>
      <c r="D40" s="2">
        <v>202401</v>
      </c>
      <c r="E40" s="2">
        <v>2</v>
      </c>
      <c r="F40" s="2">
        <v>119924.2105</v>
      </c>
      <c r="G40" s="2">
        <v>59962.105259999997</v>
      </c>
      <c r="H40" s="2">
        <v>91</v>
      </c>
      <c r="I40" s="2">
        <v>23</v>
      </c>
    </row>
    <row r="41" spans="1:9" x14ac:dyDescent="0.35">
      <c r="A41" s="2">
        <v>20250801</v>
      </c>
      <c r="B41" s="2">
        <v>8</v>
      </c>
      <c r="C41" s="2">
        <v>8</v>
      </c>
      <c r="D41" s="2">
        <v>202508</v>
      </c>
      <c r="E41" s="2">
        <v>1</v>
      </c>
      <c r="F41" s="2">
        <v>110874.0435</v>
      </c>
      <c r="G41" s="2">
        <v>110874.0435</v>
      </c>
      <c r="H41" s="2">
        <v>98</v>
      </c>
      <c r="I41" s="2">
        <v>8</v>
      </c>
    </row>
    <row r="42" spans="1:9" x14ac:dyDescent="0.35">
      <c r="A42" s="2">
        <v>20250601</v>
      </c>
      <c r="B42" s="2">
        <v>7</v>
      </c>
      <c r="C42" s="2">
        <v>2</v>
      </c>
      <c r="D42" s="2">
        <v>202506</v>
      </c>
      <c r="E42" s="2">
        <v>1</v>
      </c>
      <c r="F42" s="2">
        <v>21092.34375</v>
      </c>
      <c r="G42" s="2">
        <v>21092.34375</v>
      </c>
      <c r="H42" s="2">
        <v>66</v>
      </c>
      <c r="I42" s="2">
        <v>17</v>
      </c>
    </row>
    <row r="43" spans="1:9" x14ac:dyDescent="0.35">
      <c r="A43" s="2">
        <v>20240501</v>
      </c>
      <c r="B43" s="2">
        <v>8</v>
      </c>
      <c r="C43" s="2">
        <v>8</v>
      </c>
      <c r="D43" s="2">
        <v>202405</v>
      </c>
      <c r="E43" s="2">
        <v>12</v>
      </c>
      <c r="F43" s="2">
        <v>1300237</v>
      </c>
      <c r="G43" s="2">
        <v>216706.1667</v>
      </c>
      <c r="H43" s="2">
        <v>90</v>
      </c>
      <c r="I43" s="2">
        <v>26</v>
      </c>
    </row>
    <row r="44" spans="1:9" x14ac:dyDescent="0.35">
      <c r="A44" s="2">
        <v>20240901</v>
      </c>
      <c r="B44" s="2">
        <v>1</v>
      </c>
      <c r="C44" s="2">
        <v>3</v>
      </c>
      <c r="D44" s="2">
        <v>202409</v>
      </c>
      <c r="E44" s="2">
        <v>1</v>
      </c>
      <c r="F44" s="2">
        <v>59943.047619999998</v>
      </c>
      <c r="G44" s="2">
        <v>59943.047619999998</v>
      </c>
      <c r="H44" s="2">
        <v>19</v>
      </c>
      <c r="I44" s="2">
        <v>14</v>
      </c>
    </row>
    <row r="45" spans="1:9" x14ac:dyDescent="0.35">
      <c r="A45" s="2">
        <v>20240601</v>
      </c>
      <c r="B45" s="2">
        <v>6</v>
      </c>
      <c r="C45" s="2">
        <v>15</v>
      </c>
      <c r="D45" s="2">
        <v>202406</v>
      </c>
      <c r="E45" s="2">
        <v>6</v>
      </c>
      <c r="F45" s="2">
        <v>511870.3333</v>
      </c>
      <c r="G45" s="2">
        <v>170623.44440000001</v>
      </c>
      <c r="H45" s="2">
        <v>10</v>
      </c>
      <c r="I45" s="2">
        <v>22</v>
      </c>
    </row>
    <row r="46" spans="1:9" x14ac:dyDescent="0.35">
      <c r="A46" s="2">
        <v>20240201</v>
      </c>
      <c r="B46" s="2">
        <v>5</v>
      </c>
      <c r="C46" s="2">
        <v>6</v>
      </c>
      <c r="D46" s="2">
        <v>202402</v>
      </c>
      <c r="E46" s="2">
        <v>0</v>
      </c>
      <c r="F46" s="2">
        <v>0</v>
      </c>
      <c r="G46" s="2">
        <v>59375.659570000003</v>
      </c>
      <c r="H46" s="2">
        <v>38</v>
      </c>
      <c r="I46" s="2">
        <v>15</v>
      </c>
    </row>
    <row r="47" spans="1:9" x14ac:dyDescent="0.35">
      <c r="A47" s="2">
        <v>20240101</v>
      </c>
      <c r="B47" s="2">
        <v>4</v>
      </c>
      <c r="C47" s="2">
        <v>2</v>
      </c>
      <c r="D47" s="2">
        <v>202401</v>
      </c>
      <c r="E47" s="2">
        <v>7</v>
      </c>
      <c r="F47" s="2">
        <v>147033.61970000001</v>
      </c>
      <c r="G47" s="2">
        <v>21004.802820000001</v>
      </c>
      <c r="H47" s="2">
        <v>8</v>
      </c>
      <c r="I47" s="2">
        <v>6</v>
      </c>
    </row>
    <row r="48" spans="1:9" x14ac:dyDescent="0.35">
      <c r="A48" s="2">
        <v>20250101</v>
      </c>
      <c r="B48" s="2">
        <v>6</v>
      </c>
      <c r="C48" s="2">
        <v>4</v>
      </c>
      <c r="D48" s="2">
        <v>202501</v>
      </c>
      <c r="E48" s="2">
        <v>1</v>
      </c>
      <c r="F48" s="2">
        <v>34733.333330000001</v>
      </c>
      <c r="G48" s="2">
        <v>34733.333330000001</v>
      </c>
      <c r="H48" s="2">
        <v>40</v>
      </c>
      <c r="I48" s="2">
        <v>9</v>
      </c>
    </row>
    <row r="49" spans="1:9" x14ac:dyDescent="0.35">
      <c r="A49" s="2">
        <v>20250301</v>
      </c>
      <c r="B49" s="2">
        <v>10</v>
      </c>
      <c r="C49" s="2">
        <v>4</v>
      </c>
      <c r="D49" s="2">
        <v>202503</v>
      </c>
      <c r="E49" s="2">
        <v>1</v>
      </c>
      <c r="F49" s="2">
        <v>34619.230770000002</v>
      </c>
      <c r="G49" s="2">
        <v>34619.230770000002</v>
      </c>
      <c r="H49" s="2">
        <v>74</v>
      </c>
      <c r="I49" s="2">
        <v>29</v>
      </c>
    </row>
    <row r="50" spans="1:9" x14ac:dyDescent="0.35">
      <c r="A50" s="2">
        <v>20250501</v>
      </c>
      <c r="B50" s="2">
        <v>10</v>
      </c>
      <c r="C50" s="2">
        <v>1</v>
      </c>
      <c r="D50" s="2">
        <v>202505</v>
      </c>
      <c r="E50" s="2">
        <v>1</v>
      </c>
      <c r="F50" s="2">
        <v>25757.78571</v>
      </c>
      <c r="G50" s="2">
        <v>25757.78571</v>
      </c>
      <c r="H50" s="2">
        <v>50</v>
      </c>
      <c r="I50" s="2">
        <v>10</v>
      </c>
    </row>
    <row r="51" spans="1:9" x14ac:dyDescent="0.35">
      <c r="A51" s="2">
        <v>20250501</v>
      </c>
      <c r="B51" s="2">
        <v>9</v>
      </c>
      <c r="C51" s="2">
        <v>5</v>
      </c>
      <c r="D51" s="2">
        <v>202505</v>
      </c>
      <c r="E51" s="2">
        <v>2</v>
      </c>
      <c r="F51" s="2">
        <v>121734</v>
      </c>
      <c r="G51" s="2">
        <v>60867</v>
      </c>
      <c r="H51" s="2">
        <v>86</v>
      </c>
      <c r="I51" s="2">
        <v>9</v>
      </c>
    </row>
    <row r="52" spans="1:9" x14ac:dyDescent="0.35">
      <c r="A52" s="2">
        <v>20240101</v>
      </c>
      <c r="B52" s="2">
        <v>1</v>
      </c>
      <c r="C52" s="2">
        <v>3</v>
      </c>
      <c r="D52" s="2">
        <v>202401</v>
      </c>
      <c r="E52" s="2">
        <v>1</v>
      </c>
      <c r="F52" s="2">
        <v>59943.047619999998</v>
      </c>
      <c r="G52" s="2">
        <v>59943.047619999998</v>
      </c>
      <c r="H52" s="2">
        <v>99</v>
      </c>
      <c r="I52" s="2">
        <v>29</v>
      </c>
    </row>
    <row r="53" spans="1:9" x14ac:dyDescent="0.35">
      <c r="A53" s="2">
        <v>20250701</v>
      </c>
      <c r="B53" s="2">
        <v>5</v>
      </c>
      <c r="C53" s="2">
        <v>14</v>
      </c>
      <c r="D53" s="2">
        <v>202507</v>
      </c>
      <c r="E53" s="2">
        <v>3</v>
      </c>
      <c r="F53" s="2">
        <v>132302.86050000001</v>
      </c>
      <c r="G53" s="2">
        <v>44100.95349</v>
      </c>
      <c r="H53" s="2">
        <v>93</v>
      </c>
      <c r="I53" s="2">
        <v>1</v>
      </c>
    </row>
    <row r="54" spans="1:9" x14ac:dyDescent="0.35">
      <c r="A54" s="2">
        <v>20250801</v>
      </c>
      <c r="B54" s="2">
        <v>8</v>
      </c>
      <c r="C54" s="2">
        <v>5</v>
      </c>
      <c r="D54" s="2">
        <v>202508</v>
      </c>
      <c r="E54" s="2">
        <v>0</v>
      </c>
      <c r="F54" s="2">
        <v>0</v>
      </c>
      <c r="G54" s="2">
        <v>58791</v>
      </c>
      <c r="H54" s="2">
        <v>45</v>
      </c>
      <c r="I54" s="2">
        <v>27</v>
      </c>
    </row>
    <row r="55" spans="1:9" x14ac:dyDescent="0.35">
      <c r="A55" s="2">
        <v>20240301</v>
      </c>
      <c r="B55" s="2">
        <v>9</v>
      </c>
      <c r="C55" s="2">
        <v>8</v>
      </c>
      <c r="D55" s="2">
        <v>202403</v>
      </c>
      <c r="E55" s="2">
        <v>4</v>
      </c>
      <c r="F55" s="2">
        <v>433200</v>
      </c>
      <c r="G55" s="2">
        <v>108300</v>
      </c>
      <c r="H55" s="2">
        <v>88</v>
      </c>
      <c r="I55" s="2">
        <v>19</v>
      </c>
    </row>
    <row r="56" spans="1:9" x14ac:dyDescent="0.35">
      <c r="A56" s="2">
        <v>20250401</v>
      </c>
      <c r="B56" s="2">
        <v>8</v>
      </c>
      <c r="C56" s="2">
        <v>8</v>
      </c>
      <c r="D56" s="2">
        <v>202504</v>
      </c>
      <c r="E56" s="2">
        <v>8</v>
      </c>
      <c r="F56" s="2">
        <v>886992.34779999999</v>
      </c>
      <c r="G56" s="2">
        <v>110874.0435</v>
      </c>
      <c r="H56" s="2">
        <v>37</v>
      </c>
      <c r="I56" s="2">
        <v>10</v>
      </c>
    </row>
    <row r="57" spans="1:9" x14ac:dyDescent="0.35">
      <c r="A57" s="2">
        <v>20240101</v>
      </c>
      <c r="B57" s="2">
        <v>10</v>
      </c>
      <c r="C57" s="2">
        <v>3</v>
      </c>
      <c r="D57" s="2">
        <v>202401</v>
      </c>
      <c r="E57" s="2">
        <v>4</v>
      </c>
      <c r="F57" s="2">
        <v>239692.75</v>
      </c>
      <c r="G57" s="2">
        <v>59923.1875</v>
      </c>
      <c r="H57" s="2">
        <v>37</v>
      </c>
      <c r="I57" s="2">
        <v>10</v>
      </c>
    </row>
    <row r="58" spans="1:9" x14ac:dyDescent="0.35">
      <c r="A58" s="2">
        <v>20241001</v>
      </c>
      <c r="B58" s="2">
        <v>5</v>
      </c>
      <c r="C58" s="2">
        <v>6</v>
      </c>
      <c r="D58" s="2">
        <v>202410</v>
      </c>
      <c r="E58" s="2">
        <v>0</v>
      </c>
      <c r="F58" s="2">
        <v>0</v>
      </c>
      <c r="G58" s="2">
        <v>59486.122450000003</v>
      </c>
      <c r="H58" s="2">
        <v>57</v>
      </c>
      <c r="I58" s="2">
        <v>12</v>
      </c>
    </row>
    <row r="59" spans="1:9" x14ac:dyDescent="0.35">
      <c r="A59" s="2">
        <v>20240801</v>
      </c>
      <c r="B59" s="2">
        <v>6</v>
      </c>
      <c r="C59" s="2">
        <v>6</v>
      </c>
      <c r="D59" s="2">
        <v>202408</v>
      </c>
      <c r="E59" s="2">
        <v>1</v>
      </c>
      <c r="F59" s="2">
        <v>60056.971429999998</v>
      </c>
      <c r="G59" s="2">
        <v>60056.971429999998</v>
      </c>
      <c r="H59" s="2">
        <v>28</v>
      </c>
      <c r="I59" s="2">
        <v>8</v>
      </c>
    </row>
    <row r="60" spans="1:9" x14ac:dyDescent="0.35">
      <c r="A60" s="2">
        <v>20250501</v>
      </c>
      <c r="B60" s="2">
        <v>4</v>
      </c>
      <c r="C60" s="2">
        <v>3</v>
      </c>
      <c r="D60" s="2">
        <v>202505</v>
      </c>
      <c r="E60" s="2">
        <v>1</v>
      </c>
      <c r="F60" s="2">
        <v>59945.307690000001</v>
      </c>
      <c r="G60" s="2">
        <v>59945.307690000001</v>
      </c>
      <c r="H60" s="2">
        <v>72</v>
      </c>
      <c r="I60" s="2">
        <v>14</v>
      </c>
    </row>
    <row r="61" spans="1:9" x14ac:dyDescent="0.35">
      <c r="A61" s="2">
        <v>20240401</v>
      </c>
      <c r="B61" s="2">
        <v>7</v>
      </c>
      <c r="C61" s="2">
        <v>8</v>
      </c>
      <c r="D61" s="2">
        <v>202404</v>
      </c>
      <c r="E61" s="2">
        <v>24</v>
      </c>
      <c r="F61" s="2">
        <v>2550110.1179999998</v>
      </c>
      <c r="G61" s="2">
        <v>212509.1765</v>
      </c>
      <c r="H61" s="2">
        <v>33</v>
      </c>
      <c r="I61" s="2">
        <v>23</v>
      </c>
    </row>
    <row r="62" spans="1:9" x14ac:dyDescent="0.35">
      <c r="A62" s="2">
        <v>20250201</v>
      </c>
      <c r="B62" s="2">
        <v>9</v>
      </c>
      <c r="C62" s="2">
        <v>5</v>
      </c>
      <c r="D62" s="2">
        <v>202502</v>
      </c>
      <c r="E62" s="2">
        <v>2</v>
      </c>
      <c r="F62" s="2">
        <v>121734</v>
      </c>
      <c r="G62" s="2">
        <v>60867</v>
      </c>
      <c r="H62" s="2">
        <v>94</v>
      </c>
      <c r="I62" s="2">
        <v>1</v>
      </c>
    </row>
    <row r="63" spans="1:9" x14ac:dyDescent="0.35">
      <c r="A63" s="2">
        <v>20240101</v>
      </c>
      <c r="B63" s="2">
        <v>1</v>
      </c>
      <c r="C63" s="2">
        <v>13</v>
      </c>
      <c r="D63" s="2">
        <v>202401</v>
      </c>
      <c r="E63" s="2">
        <v>0</v>
      </c>
      <c r="F63" s="2">
        <v>0</v>
      </c>
      <c r="G63" s="2">
        <v>44090.25</v>
      </c>
      <c r="H63" s="2">
        <v>25</v>
      </c>
      <c r="I63" s="2">
        <v>21</v>
      </c>
    </row>
    <row r="64" spans="1:9" x14ac:dyDescent="0.35">
      <c r="A64" s="2">
        <v>20240301</v>
      </c>
      <c r="B64" s="2">
        <v>5</v>
      </c>
      <c r="C64" s="2">
        <v>10</v>
      </c>
      <c r="D64" s="2">
        <v>202403</v>
      </c>
      <c r="E64" s="2">
        <v>0</v>
      </c>
      <c r="F64" s="2">
        <v>0</v>
      </c>
      <c r="G64" s="2">
        <v>24697.47826</v>
      </c>
      <c r="H64" s="2">
        <v>75</v>
      </c>
      <c r="I64" s="2">
        <v>21</v>
      </c>
    </row>
    <row r="65" spans="1:9" x14ac:dyDescent="0.35">
      <c r="A65" s="2">
        <v>20241001</v>
      </c>
      <c r="B65" s="2">
        <v>8</v>
      </c>
      <c r="C65" s="2">
        <v>8</v>
      </c>
      <c r="D65" s="2">
        <v>202410</v>
      </c>
      <c r="E65" s="2">
        <v>1</v>
      </c>
      <c r="F65" s="2">
        <v>108353.0833</v>
      </c>
      <c r="G65" s="2">
        <v>108353.0833</v>
      </c>
      <c r="H65" s="2">
        <v>1</v>
      </c>
      <c r="I65" s="2">
        <v>17</v>
      </c>
    </row>
    <row r="66" spans="1:9" x14ac:dyDescent="0.35">
      <c r="A66" s="2">
        <v>20250201</v>
      </c>
      <c r="B66" s="2">
        <v>5</v>
      </c>
      <c r="C66" s="2">
        <v>13</v>
      </c>
      <c r="D66" s="2">
        <v>202502</v>
      </c>
      <c r="E66" s="2">
        <v>4</v>
      </c>
      <c r="F66" s="2">
        <v>181681.85190000001</v>
      </c>
      <c r="G66" s="2">
        <v>45420.462959999997</v>
      </c>
      <c r="H66" s="2">
        <v>73</v>
      </c>
      <c r="I66" s="2">
        <v>27</v>
      </c>
    </row>
    <row r="67" spans="1:9" x14ac:dyDescent="0.35">
      <c r="A67" s="2">
        <v>20250801</v>
      </c>
      <c r="B67" s="2">
        <v>8</v>
      </c>
      <c r="C67" s="2">
        <v>14</v>
      </c>
      <c r="D67" s="2">
        <v>202508</v>
      </c>
      <c r="E67" s="2">
        <v>3</v>
      </c>
      <c r="F67" s="2">
        <v>132632.41459999999</v>
      </c>
      <c r="G67" s="2">
        <v>44210.804880000003</v>
      </c>
      <c r="H67" s="2">
        <v>48</v>
      </c>
      <c r="I67" s="2">
        <v>4</v>
      </c>
    </row>
    <row r="68" spans="1:9" x14ac:dyDescent="0.35">
      <c r="A68" s="2">
        <v>20240501</v>
      </c>
      <c r="B68" s="2">
        <v>10</v>
      </c>
      <c r="C68" s="2">
        <v>10</v>
      </c>
      <c r="D68" s="2">
        <v>202405</v>
      </c>
      <c r="E68" s="2">
        <v>2</v>
      </c>
      <c r="F68" s="2">
        <v>48717.125</v>
      </c>
      <c r="G68" s="2">
        <v>48717.125</v>
      </c>
      <c r="H68" s="2">
        <v>4</v>
      </c>
      <c r="I68" s="2">
        <v>14</v>
      </c>
    </row>
    <row r="69" spans="1:9" x14ac:dyDescent="0.35">
      <c r="A69" s="2">
        <v>20250701</v>
      </c>
      <c r="B69" s="2">
        <v>10</v>
      </c>
      <c r="C69" s="2">
        <v>5</v>
      </c>
      <c r="D69" s="2">
        <v>202507</v>
      </c>
      <c r="E69" s="2">
        <v>1</v>
      </c>
      <c r="F69" s="2">
        <v>60067.8</v>
      </c>
      <c r="G69" s="2">
        <v>60067.8</v>
      </c>
      <c r="H69" s="2">
        <v>6</v>
      </c>
      <c r="I69" s="2">
        <v>2</v>
      </c>
    </row>
    <row r="70" spans="1:9" x14ac:dyDescent="0.35">
      <c r="A70" s="2">
        <v>20240401</v>
      </c>
      <c r="B70" s="2">
        <v>9</v>
      </c>
      <c r="C70" s="2">
        <v>7</v>
      </c>
      <c r="D70" s="2">
        <v>202404</v>
      </c>
      <c r="E70" s="2">
        <v>10</v>
      </c>
      <c r="F70" s="2">
        <v>666766.6</v>
      </c>
      <c r="G70" s="2">
        <v>133353.32</v>
      </c>
      <c r="H70" s="2">
        <v>28</v>
      </c>
      <c r="I70" s="2">
        <v>9</v>
      </c>
    </row>
    <row r="71" spans="1:9" x14ac:dyDescent="0.35">
      <c r="A71" s="2">
        <v>20250401</v>
      </c>
      <c r="B71" s="2">
        <v>7</v>
      </c>
      <c r="C71" s="2">
        <v>7</v>
      </c>
      <c r="D71" s="2">
        <v>202504</v>
      </c>
      <c r="E71" s="2">
        <v>21</v>
      </c>
      <c r="F71" s="2">
        <v>1400254.8</v>
      </c>
      <c r="G71" s="2">
        <v>66678.8</v>
      </c>
      <c r="H71" s="2">
        <v>83</v>
      </c>
      <c r="I71" s="2">
        <v>31</v>
      </c>
    </row>
    <row r="72" spans="1:9" x14ac:dyDescent="0.35">
      <c r="A72" s="2">
        <v>20240401</v>
      </c>
      <c r="B72" s="2">
        <v>6</v>
      </c>
      <c r="C72" s="2">
        <v>7</v>
      </c>
      <c r="D72" s="2">
        <v>202404</v>
      </c>
      <c r="E72" s="2">
        <v>4</v>
      </c>
      <c r="F72" s="2">
        <v>268358.75</v>
      </c>
      <c r="G72" s="2">
        <v>134179.375</v>
      </c>
      <c r="H72" s="2">
        <v>70</v>
      </c>
      <c r="I72" s="2">
        <v>1</v>
      </c>
    </row>
    <row r="73" spans="1:9" x14ac:dyDescent="0.35">
      <c r="A73" s="2">
        <v>20240101</v>
      </c>
      <c r="B73" s="2">
        <v>7</v>
      </c>
      <c r="C73" s="2">
        <v>11</v>
      </c>
      <c r="D73" s="2">
        <v>202401</v>
      </c>
      <c r="E73" s="2">
        <v>4</v>
      </c>
      <c r="F73" s="2">
        <v>91498.577780000007</v>
      </c>
      <c r="G73" s="2">
        <v>22874.64444</v>
      </c>
      <c r="H73" s="2">
        <v>58</v>
      </c>
      <c r="I73" s="2">
        <v>25</v>
      </c>
    </row>
    <row r="74" spans="1:9" x14ac:dyDescent="0.35">
      <c r="A74" s="2">
        <v>20250501</v>
      </c>
      <c r="B74" s="2">
        <v>4</v>
      </c>
      <c r="C74" s="2">
        <v>1</v>
      </c>
      <c r="D74" s="2">
        <v>202505</v>
      </c>
      <c r="E74" s="2">
        <v>2</v>
      </c>
      <c r="F74" s="2">
        <v>50534.526319999997</v>
      </c>
      <c r="G74" s="2">
        <v>25267.263159999999</v>
      </c>
      <c r="H74" s="2">
        <v>85</v>
      </c>
      <c r="I74" s="2">
        <v>29</v>
      </c>
    </row>
    <row r="75" spans="1:9" x14ac:dyDescent="0.35">
      <c r="A75" s="2">
        <v>20240801</v>
      </c>
      <c r="B75" s="2">
        <v>7</v>
      </c>
      <c r="C75" s="2">
        <v>7</v>
      </c>
      <c r="D75" s="2">
        <v>202408</v>
      </c>
      <c r="E75" s="2">
        <v>1</v>
      </c>
      <c r="F75" s="2">
        <v>67028.175000000003</v>
      </c>
      <c r="G75" s="2">
        <v>67028.175000000003</v>
      </c>
      <c r="H75" s="2">
        <v>68</v>
      </c>
      <c r="I75" s="2">
        <v>20</v>
      </c>
    </row>
    <row r="76" spans="1:9" x14ac:dyDescent="0.35">
      <c r="A76" s="2">
        <v>20240901</v>
      </c>
      <c r="B76" s="2">
        <v>7</v>
      </c>
      <c r="C76" s="2">
        <v>8</v>
      </c>
      <c r="D76" s="2">
        <v>202409</v>
      </c>
      <c r="E76" s="2">
        <v>2</v>
      </c>
      <c r="F76" s="2">
        <v>217495.92</v>
      </c>
      <c r="G76" s="2">
        <v>108747.96</v>
      </c>
      <c r="H76" s="2">
        <v>63</v>
      </c>
      <c r="I76" s="2">
        <v>31</v>
      </c>
    </row>
    <row r="77" spans="1:9" x14ac:dyDescent="0.35">
      <c r="A77" s="2">
        <v>20250501</v>
      </c>
      <c r="B77" s="2">
        <v>2</v>
      </c>
      <c r="C77" s="2">
        <v>5</v>
      </c>
      <c r="D77" s="2">
        <v>202505</v>
      </c>
      <c r="E77" s="2">
        <v>4</v>
      </c>
      <c r="F77" s="2">
        <v>247510.6667</v>
      </c>
      <c r="G77" s="2">
        <v>61877.666669999999</v>
      </c>
      <c r="H77" s="2">
        <v>85</v>
      </c>
      <c r="I77" s="2">
        <v>26</v>
      </c>
    </row>
    <row r="78" spans="1:9" x14ac:dyDescent="0.35">
      <c r="A78" s="2">
        <v>20250201</v>
      </c>
      <c r="B78" s="2">
        <v>10</v>
      </c>
      <c r="C78" s="2">
        <v>15</v>
      </c>
      <c r="D78" s="2">
        <v>202502</v>
      </c>
      <c r="E78" s="2">
        <v>3</v>
      </c>
      <c r="F78" s="2">
        <v>265762.54840000003</v>
      </c>
      <c r="G78" s="2">
        <v>88587.516130000004</v>
      </c>
      <c r="H78" s="2">
        <v>11</v>
      </c>
      <c r="I78" s="2">
        <v>31</v>
      </c>
    </row>
    <row r="79" spans="1:9" x14ac:dyDescent="0.35">
      <c r="A79" s="2">
        <v>20250301</v>
      </c>
      <c r="B79" s="2">
        <v>10</v>
      </c>
      <c r="C79" s="2">
        <v>8</v>
      </c>
      <c r="D79" s="2">
        <v>202503</v>
      </c>
      <c r="E79" s="2">
        <v>5</v>
      </c>
      <c r="F79" s="2">
        <v>545265</v>
      </c>
      <c r="G79" s="2">
        <v>109053</v>
      </c>
      <c r="H79" s="2">
        <v>30</v>
      </c>
      <c r="I79" s="2">
        <v>29</v>
      </c>
    </row>
    <row r="80" spans="1:9" x14ac:dyDescent="0.35">
      <c r="A80" s="2">
        <v>20250601</v>
      </c>
      <c r="B80" s="2">
        <v>2</v>
      </c>
      <c r="C80" s="2">
        <v>12</v>
      </c>
      <c r="D80" s="2">
        <v>202506</v>
      </c>
      <c r="E80" s="2">
        <v>8</v>
      </c>
      <c r="F80" s="2">
        <v>335535</v>
      </c>
      <c r="G80" s="2">
        <v>41941.875</v>
      </c>
      <c r="H80" s="2">
        <v>94</v>
      </c>
      <c r="I80" s="2">
        <v>29</v>
      </c>
    </row>
    <row r="81" spans="1:9" x14ac:dyDescent="0.35">
      <c r="A81" s="2">
        <v>20240401</v>
      </c>
      <c r="B81" s="2">
        <v>1</v>
      </c>
      <c r="C81" s="2">
        <v>15</v>
      </c>
      <c r="D81" s="2">
        <v>202404</v>
      </c>
      <c r="E81" s="2">
        <v>8</v>
      </c>
      <c r="F81" s="2">
        <v>679457.54839999997</v>
      </c>
      <c r="G81" s="2">
        <v>169864.38709999999</v>
      </c>
      <c r="H81" s="2">
        <v>51</v>
      </c>
      <c r="I81" s="2">
        <v>8</v>
      </c>
    </row>
    <row r="82" spans="1:9" x14ac:dyDescent="0.35">
      <c r="A82" s="2">
        <v>20240901</v>
      </c>
      <c r="B82" s="2">
        <v>2</v>
      </c>
      <c r="C82" s="2">
        <v>13</v>
      </c>
      <c r="D82" s="2">
        <v>202409</v>
      </c>
      <c r="E82" s="2">
        <v>0</v>
      </c>
      <c r="F82" s="2">
        <v>0</v>
      </c>
      <c r="G82" s="2">
        <v>45685.474999999999</v>
      </c>
      <c r="H82" s="2">
        <v>94</v>
      </c>
      <c r="I82" s="2">
        <v>4</v>
      </c>
    </row>
    <row r="83" spans="1:9" x14ac:dyDescent="0.35">
      <c r="A83" s="2">
        <v>20240701</v>
      </c>
      <c r="B83" s="2">
        <v>2</v>
      </c>
      <c r="C83" s="2">
        <v>14</v>
      </c>
      <c r="D83" s="2">
        <v>202407</v>
      </c>
      <c r="E83" s="2">
        <v>2</v>
      </c>
      <c r="F83" s="2">
        <v>85874.740739999994</v>
      </c>
      <c r="G83" s="2">
        <v>42937.370369999997</v>
      </c>
      <c r="H83" s="2">
        <v>95</v>
      </c>
      <c r="I83" s="2">
        <v>28</v>
      </c>
    </row>
    <row r="84" spans="1:9" x14ac:dyDescent="0.35">
      <c r="A84" s="2">
        <v>20250201</v>
      </c>
      <c r="B84" s="2">
        <v>10</v>
      </c>
      <c r="C84" s="2">
        <v>14</v>
      </c>
      <c r="D84" s="2">
        <v>202502</v>
      </c>
      <c r="E84" s="2">
        <v>3</v>
      </c>
      <c r="F84" s="2">
        <v>134591.4706</v>
      </c>
      <c r="G84" s="2">
        <v>44863.823530000001</v>
      </c>
      <c r="H84" s="2">
        <v>3</v>
      </c>
      <c r="I84" s="2">
        <v>4</v>
      </c>
    </row>
    <row r="85" spans="1:9" x14ac:dyDescent="0.35">
      <c r="A85" s="2">
        <v>20250301</v>
      </c>
      <c r="B85" s="2">
        <v>9</v>
      </c>
      <c r="C85" s="2">
        <v>6</v>
      </c>
      <c r="D85" s="2">
        <v>202503</v>
      </c>
      <c r="E85" s="2">
        <v>2</v>
      </c>
      <c r="F85" s="2">
        <v>119027.6667</v>
      </c>
      <c r="G85" s="2">
        <v>59513.833330000001</v>
      </c>
      <c r="H85" s="2">
        <v>23</v>
      </c>
      <c r="I85" s="2">
        <v>25</v>
      </c>
    </row>
    <row r="86" spans="1:9" x14ac:dyDescent="0.35">
      <c r="A86" s="2">
        <v>20250101</v>
      </c>
      <c r="B86" s="2">
        <v>9</v>
      </c>
      <c r="C86" s="2">
        <v>12</v>
      </c>
      <c r="D86" s="2">
        <v>202501</v>
      </c>
      <c r="E86" s="2">
        <v>1</v>
      </c>
      <c r="F86" s="2">
        <v>42689</v>
      </c>
      <c r="G86" s="2">
        <v>42689</v>
      </c>
      <c r="H86" s="2">
        <v>50</v>
      </c>
      <c r="I86" s="2">
        <v>21</v>
      </c>
    </row>
    <row r="87" spans="1:9" x14ac:dyDescent="0.35">
      <c r="A87" s="2">
        <v>20250101</v>
      </c>
      <c r="B87" s="2">
        <v>2</v>
      </c>
      <c r="C87" s="2">
        <v>7</v>
      </c>
      <c r="D87" s="2">
        <v>202501</v>
      </c>
      <c r="E87" s="2">
        <v>4</v>
      </c>
      <c r="F87" s="2">
        <v>272336.77419999999</v>
      </c>
      <c r="G87" s="2">
        <v>68084.193549999996</v>
      </c>
      <c r="H87" s="2">
        <v>59</v>
      </c>
      <c r="I87" s="2">
        <v>15</v>
      </c>
    </row>
    <row r="88" spans="1:9" x14ac:dyDescent="0.35">
      <c r="A88" s="2">
        <v>20240801</v>
      </c>
      <c r="B88" s="2">
        <v>6</v>
      </c>
      <c r="C88" s="2">
        <v>11</v>
      </c>
      <c r="D88" s="2">
        <v>202408</v>
      </c>
      <c r="E88" s="2">
        <v>6</v>
      </c>
      <c r="F88" s="2">
        <v>137119.1053</v>
      </c>
      <c r="G88" s="2">
        <v>22853.184209999999</v>
      </c>
      <c r="H88" s="2">
        <v>22</v>
      </c>
      <c r="I88" s="2">
        <v>12</v>
      </c>
    </row>
    <row r="89" spans="1:9" x14ac:dyDescent="0.35">
      <c r="A89" s="2">
        <v>20250101</v>
      </c>
      <c r="B89" s="2">
        <v>6</v>
      </c>
      <c r="C89" s="2">
        <v>7</v>
      </c>
      <c r="D89" s="2">
        <v>202501</v>
      </c>
      <c r="E89" s="2">
        <v>1</v>
      </c>
      <c r="F89" s="2">
        <v>67190.681819999998</v>
      </c>
      <c r="G89" s="2">
        <v>67190.681819999998</v>
      </c>
      <c r="H89" s="2">
        <v>24</v>
      </c>
      <c r="I89" s="2">
        <v>11</v>
      </c>
    </row>
    <row r="90" spans="1:9" x14ac:dyDescent="0.35">
      <c r="A90" s="2">
        <v>20250601</v>
      </c>
      <c r="B90" s="2">
        <v>6</v>
      </c>
      <c r="C90" s="2">
        <v>15</v>
      </c>
      <c r="D90" s="2">
        <v>202506</v>
      </c>
      <c r="E90" s="2">
        <v>9</v>
      </c>
      <c r="F90" s="2">
        <v>791055.94739999995</v>
      </c>
      <c r="G90" s="2">
        <v>87895.105259999997</v>
      </c>
      <c r="H90" s="2">
        <v>36</v>
      </c>
      <c r="I90" s="2">
        <v>29</v>
      </c>
    </row>
    <row r="91" spans="1:9" x14ac:dyDescent="0.35">
      <c r="A91" s="2">
        <v>20250401</v>
      </c>
      <c r="B91" s="2">
        <v>9</v>
      </c>
      <c r="C91" s="2">
        <v>4</v>
      </c>
      <c r="D91" s="2">
        <v>202504</v>
      </c>
      <c r="E91" s="2">
        <v>1</v>
      </c>
      <c r="F91" s="2">
        <v>34778</v>
      </c>
      <c r="G91" s="2">
        <v>34778</v>
      </c>
      <c r="H91" s="2">
        <v>97</v>
      </c>
      <c r="I91" s="2">
        <v>12</v>
      </c>
    </row>
    <row r="92" spans="1:9" x14ac:dyDescent="0.35">
      <c r="A92" s="2">
        <v>20250801</v>
      </c>
      <c r="B92" s="2">
        <v>9</v>
      </c>
      <c r="C92" s="2">
        <v>4</v>
      </c>
      <c r="D92" s="2">
        <v>202508</v>
      </c>
      <c r="E92" s="2">
        <v>0</v>
      </c>
      <c r="F92" s="2">
        <v>0</v>
      </c>
      <c r="G92" s="2">
        <v>34778</v>
      </c>
      <c r="H92" s="2">
        <v>94</v>
      </c>
      <c r="I92" s="2">
        <v>29</v>
      </c>
    </row>
    <row r="93" spans="1:9" x14ac:dyDescent="0.35">
      <c r="A93" s="2">
        <v>20240201</v>
      </c>
      <c r="B93" s="2">
        <v>4</v>
      </c>
      <c r="C93" s="2">
        <v>5</v>
      </c>
      <c r="D93" s="2">
        <v>202402</v>
      </c>
      <c r="E93" s="2">
        <v>0</v>
      </c>
      <c r="F93" s="2">
        <v>0</v>
      </c>
      <c r="G93" s="2">
        <v>60249.06452</v>
      </c>
      <c r="H93" s="2">
        <v>22</v>
      </c>
      <c r="I93" s="2">
        <v>7</v>
      </c>
    </row>
    <row r="94" spans="1:9" x14ac:dyDescent="0.35">
      <c r="A94" s="2">
        <v>20240501</v>
      </c>
      <c r="B94" s="2">
        <v>9</v>
      </c>
      <c r="C94" s="2">
        <v>4</v>
      </c>
      <c r="D94" s="2">
        <v>202405</v>
      </c>
      <c r="E94" s="2">
        <v>0</v>
      </c>
      <c r="F94" s="2">
        <v>0</v>
      </c>
      <c r="G94" s="2">
        <v>62230.5</v>
      </c>
      <c r="H94" s="2">
        <v>44</v>
      </c>
      <c r="I94" s="2">
        <v>3</v>
      </c>
    </row>
    <row r="95" spans="1:9" x14ac:dyDescent="0.35">
      <c r="A95" s="2">
        <v>20240601</v>
      </c>
      <c r="B95" s="2">
        <v>1</v>
      </c>
      <c r="C95" s="2">
        <v>15</v>
      </c>
      <c r="D95" s="2">
        <v>202406</v>
      </c>
      <c r="E95" s="2">
        <v>8</v>
      </c>
      <c r="F95" s="2">
        <v>679457.54839999997</v>
      </c>
      <c r="G95" s="2">
        <v>169864.38709999999</v>
      </c>
      <c r="H95" s="2">
        <v>43</v>
      </c>
      <c r="I95" s="2">
        <v>15</v>
      </c>
    </row>
    <row r="96" spans="1:9" x14ac:dyDescent="0.35">
      <c r="A96" s="2">
        <v>20240101</v>
      </c>
      <c r="B96" s="2">
        <v>6</v>
      </c>
      <c r="C96" s="2">
        <v>6</v>
      </c>
      <c r="D96" s="2">
        <v>202401</v>
      </c>
      <c r="E96" s="2">
        <v>0</v>
      </c>
      <c r="F96" s="2">
        <v>0</v>
      </c>
      <c r="G96" s="2">
        <v>60056.971429999998</v>
      </c>
      <c r="H96" s="2">
        <v>98</v>
      </c>
      <c r="I96" s="2">
        <v>29</v>
      </c>
    </row>
    <row r="97" spans="1:9" x14ac:dyDescent="0.35">
      <c r="A97" s="2">
        <v>20240801</v>
      </c>
      <c r="B97" s="2">
        <v>1</v>
      </c>
      <c r="C97" s="2">
        <v>13</v>
      </c>
      <c r="D97" s="2">
        <v>202408</v>
      </c>
      <c r="E97" s="2">
        <v>0</v>
      </c>
      <c r="F97" s="2">
        <v>0</v>
      </c>
      <c r="G97" s="2">
        <v>44090.25</v>
      </c>
      <c r="H97" s="2">
        <v>88</v>
      </c>
      <c r="I97" s="2">
        <v>14</v>
      </c>
    </row>
    <row r="98" spans="1:9" x14ac:dyDescent="0.35">
      <c r="A98" s="2">
        <v>20241001</v>
      </c>
      <c r="B98" s="2">
        <v>2</v>
      </c>
      <c r="C98" s="2">
        <v>13</v>
      </c>
      <c r="D98" s="2">
        <v>202410</v>
      </c>
      <c r="E98" s="2">
        <v>1</v>
      </c>
      <c r="F98" s="2">
        <v>44999.295449999998</v>
      </c>
      <c r="G98" s="2">
        <v>44999.295449999998</v>
      </c>
      <c r="H98" s="2">
        <v>74</v>
      </c>
      <c r="I98" s="2">
        <v>11</v>
      </c>
    </row>
    <row r="99" spans="1:9" x14ac:dyDescent="0.35">
      <c r="A99" s="2">
        <v>20250601</v>
      </c>
      <c r="B99" s="2">
        <v>2</v>
      </c>
      <c r="C99" s="2">
        <v>4</v>
      </c>
      <c r="D99" s="2">
        <v>202506</v>
      </c>
      <c r="E99" s="2">
        <v>6</v>
      </c>
      <c r="F99" s="2">
        <v>207335.57139999999</v>
      </c>
      <c r="G99" s="2">
        <v>34555.928569999996</v>
      </c>
      <c r="H99" s="2">
        <v>6</v>
      </c>
      <c r="I99" s="2">
        <v>1</v>
      </c>
    </row>
    <row r="100" spans="1:9" x14ac:dyDescent="0.35">
      <c r="A100" s="2">
        <v>20240601</v>
      </c>
      <c r="B100" s="2">
        <v>10</v>
      </c>
      <c r="C100" s="2">
        <v>7</v>
      </c>
      <c r="D100" s="2">
        <v>202406</v>
      </c>
      <c r="E100" s="2">
        <v>8</v>
      </c>
      <c r="F100" s="2">
        <v>532150.04879999999</v>
      </c>
      <c r="G100" s="2">
        <v>133037.5122</v>
      </c>
      <c r="H100" s="2">
        <v>55</v>
      </c>
      <c r="I100" s="2">
        <v>19</v>
      </c>
    </row>
    <row r="101" spans="1:9" x14ac:dyDescent="0.35">
      <c r="A101" s="2">
        <v>20241001</v>
      </c>
      <c r="B101" s="2">
        <v>4</v>
      </c>
      <c r="C101" s="2">
        <v>14</v>
      </c>
      <c r="D101" s="2">
        <v>202410</v>
      </c>
      <c r="E101" s="2">
        <v>7</v>
      </c>
      <c r="F101" s="2">
        <v>309547.6923</v>
      </c>
      <c r="G101" s="2">
        <v>44221.098899999997</v>
      </c>
      <c r="H101" s="2">
        <v>38</v>
      </c>
      <c r="I101" s="2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9CD3-C6B5-41D8-9F46-9CF5E230D241}">
  <dimension ref="A1:E108"/>
  <sheetViews>
    <sheetView workbookViewId="0">
      <selection activeCell="C10" sqref="C10"/>
    </sheetView>
  </sheetViews>
  <sheetFormatPr defaultRowHeight="14.5" x14ac:dyDescent="0.35"/>
  <cols>
    <col min="1" max="1" width="11.90625" bestFit="1" customWidth="1"/>
    <col min="2" max="2" width="10.08984375" bestFit="1" customWidth="1"/>
    <col min="3" max="3" width="17.81640625" bestFit="1" customWidth="1"/>
    <col min="4" max="4" width="7" bestFit="1" customWidth="1"/>
    <col min="5" max="5" width="11.1796875" bestFit="1" customWidth="1"/>
  </cols>
  <sheetData>
    <row r="1" spans="1:5" ht="23.5" x14ac:dyDescent="0.35">
      <c r="A1" s="1" t="s">
        <v>0</v>
      </c>
      <c r="B1" s="1" t="s">
        <v>555</v>
      </c>
      <c r="C1" s="1" t="s">
        <v>1</v>
      </c>
      <c r="D1" s="1" t="s">
        <v>4</v>
      </c>
      <c r="E1" s="1" t="s">
        <v>3</v>
      </c>
    </row>
    <row r="2" spans="1:5" x14ac:dyDescent="0.35">
      <c r="A2" s="2">
        <v>20240410</v>
      </c>
      <c r="B2" s="5">
        <f>DATE(LEFT(A2,4),MID(A2,5,2),RIGHT(A2,2))</f>
        <v>45392</v>
      </c>
      <c r="C2" s="2">
        <f>MONTH(B2)</f>
        <v>4</v>
      </c>
      <c r="D2" s="2">
        <f>YEAR(B2)</f>
        <v>2024</v>
      </c>
      <c r="E2" s="2">
        <f>INT(C2/4)+1</f>
        <v>2</v>
      </c>
    </row>
    <row r="3" spans="1:5" x14ac:dyDescent="0.35">
      <c r="A3" s="2">
        <v>20250515</v>
      </c>
      <c r="B3" s="5">
        <f t="shared" ref="B3:B66" si="0">DATE(LEFT(A3,4),MID(A3,5,2),RIGHT(A3,2))</f>
        <v>45792</v>
      </c>
      <c r="C3" s="2">
        <f t="shared" ref="C3:C66" si="1">MONTH(B3)</f>
        <v>5</v>
      </c>
      <c r="D3" s="2">
        <f t="shared" ref="D3:D66" si="2">YEAR(B3)</f>
        <v>2025</v>
      </c>
      <c r="E3" s="2">
        <f t="shared" ref="E3:E66" si="3">INT(C3/4)+1</f>
        <v>2</v>
      </c>
    </row>
    <row r="4" spans="1:5" x14ac:dyDescent="0.35">
      <c r="A4" s="2">
        <v>20231210</v>
      </c>
      <c r="B4" s="5">
        <f t="shared" si="0"/>
        <v>45270</v>
      </c>
      <c r="C4" s="2">
        <f t="shared" si="1"/>
        <v>12</v>
      </c>
      <c r="D4" s="2">
        <f t="shared" si="2"/>
        <v>2023</v>
      </c>
      <c r="E4" s="2">
        <f t="shared" si="3"/>
        <v>4</v>
      </c>
    </row>
    <row r="5" spans="1:5" x14ac:dyDescent="0.35">
      <c r="A5" s="2">
        <v>20230918</v>
      </c>
      <c r="B5" s="5">
        <f t="shared" si="0"/>
        <v>45187</v>
      </c>
      <c r="C5" s="2">
        <f t="shared" si="1"/>
        <v>9</v>
      </c>
      <c r="D5" s="2">
        <f t="shared" si="2"/>
        <v>2023</v>
      </c>
      <c r="E5" s="2">
        <f t="shared" si="3"/>
        <v>3</v>
      </c>
    </row>
    <row r="6" spans="1:5" x14ac:dyDescent="0.35">
      <c r="A6" s="2">
        <v>20250226</v>
      </c>
      <c r="B6" s="5">
        <f t="shared" si="0"/>
        <v>45714</v>
      </c>
      <c r="C6" s="2">
        <f t="shared" si="1"/>
        <v>2</v>
      </c>
      <c r="D6" s="2">
        <f t="shared" si="2"/>
        <v>2025</v>
      </c>
      <c r="E6" s="2">
        <f t="shared" si="3"/>
        <v>1</v>
      </c>
    </row>
    <row r="7" spans="1:5" x14ac:dyDescent="0.35">
      <c r="A7" s="2">
        <v>20240921</v>
      </c>
      <c r="B7" s="5">
        <f t="shared" si="0"/>
        <v>45556</v>
      </c>
      <c r="C7" s="2">
        <f t="shared" si="1"/>
        <v>9</v>
      </c>
      <c r="D7" s="2">
        <f t="shared" si="2"/>
        <v>2024</v>
      </c>
      <c r="E7" s="2">
        <f t="shared" si="3"/>
        <v>3</v>
      </c>
    </row>
    <row r="8" spans="1:5" x14ac:dyDescent="0.35">
      <c r="A8" s="2">
        <v>20230731</v>
      </c>
      <c r="B8" s="5">
        <f t="shared" si="0"/>
        <v>45138</v>
      </c>
      <c r="C8" s="2">
        <f t="shared" si="1"/>
        <v>7</v>
      </c>
      <c r="D8" s="2">
        <f t="shared" si="2"/>
        <v>2023</v>
      </c>
      <c r="E8" s="2">
        <f t="shared" si="3"/>
        <v>2</v>
      </c>
    </row>
    <row r="9" spans="1:5" x14ac:dyDescent="0.35">
      <c r="A9" s="2">
        <v>20240524</v>
      </c>
      <c r="B9" s="5">
        <f t="shared" si="0"/>
        <v>45436</v>
      </c>
      <c r="C9" s="2">
        <f t="shared" si="1"/>
        <v>5</v>
      </c>
      <c r="D9" s="2">
        <f t="shared" si="2"/>
        <v>2024</v>
      </c>
      <c r="E9" s="2">
        <f t="shared" si="3"/>
        <v>2</v>
      </c>
    </row>
    <row r="10" spans="1:5" x14ac:dyDescent="0.35">
      <c r="A10" s="2">
        <v>20250220</v>
      </c>
      <c r="B10" s="5">
        <f t="shared" si="0"/>
        <v>45708</v>
      </c>
      <c r="C10" s="2">
        <f t="shared" si="1"/>
        <v>2</v>
      </c>
      <c r="D10" s="2">
        <f t="shared" si="2"/>
        <v>2025</v>
      </c>
      <c r="E10" s="2">
        <f t="shared" si="3"/>
        <v>1</v>
      </c>
    </row>
    <row r="11" spans="1:5" x14ac:dyDescent="0.35">
      <c r="A11" s="2">
        <v>20250507</v>
      </c>
      <c r="B11" s="5">
        <f t="shared" si="0"/>
        <v>45784</v>
      </c>
      <c r="C11" s="2">
        <f t="shared" si="1"/>
        <v>5</v>
      </c>
      <c r="D11" s="2">
        <f t="shared" si="2"/>
        <v>2025</v>
      </c>
      <c r="E11" s="2">
        <f t="shared" si="3"/>
        <v>2</v>
      </c>
    </row>
    <row r="12" spans="1:5" x14ac:dyDescent="0.35">
      <c r="A12" s="2">
        <v>20240427</v>
      </c>
      <c r="B12" s="5">
        <f t="shared" si="0"/>
        <v>45409</v>
      </c>
      <c r="C12" s="2">
        <f t="shared" si="1"/>
        <v>4</v>
      </c>
      <c r="D12" s="2">
        <f t="shared" si="2"/>
        <v>2024</v>
      </c>
      <c r="E12" s="2">
        <f t="shared" si="3"/>
        <v>2</v>
      </c>
    </row>
    <row r="13" spans="1:5" x14ac:dyDescent="0.35">
      <c r="A13" s="2">
        <v>20240319</v>
      </c>
      <c r="B13" s="5">
        <f t="shared" si="0"/>
        <v>45370</v>
      </c>
      <c r="C13" s="2">
        <f t="shared" si="1"/>
        <v>3</v>
      </c>
      <c r="D13" s="2">
        <f t="shared" si="2"/>
        <v>2024</v>
      </c>
      <c r="E13" s="2">
        <f t="shared" si="3"/>
        <v>1</v>
      </c>
    </row>
    <row r="14" spans="1:5" x14ac:dyDescent="0.35">
      <c r="A14" s="2">
        <v>20240604</v>
      </c>
      <c r="B14" s="5">
        <f t="shared" si="0"/>
        <v>45447</v>
      </c>
      <c r="C14" s="2">
        <f t="shared" si="1"/>
        <v>6</v>
      </c>
      <c r="D14" s="2">
        <f t="shared" si="2"/>
        <v>2024</v>
      </c>
      <c r="E14" s="2">
        <f t="shared" si="3"/>
        <v>2</v>
      </c>
    </row>
    <row r="15" spans="1:5" x14ac:dyDescent="0.35">
      <c r="A15" s="2">
        <v>20230704</v>
      </c>
      <c r="B15" s="5">
        <f t="shared" si="0"/>
        <v>45111</v>
      </c>
      <c r="C15" s="2">
        <f t="shared" si="1"/>
        <v>7</v>
      </c>
      <c r="D15" s="2">
        <f t="shared" si="2"/>
        <v>2023</v>
      </c>
      <c r="E15" s="2">
        <f t="shared" si="3"/>
        <v>2</v>
      </c>
    </row>
    <row r="16" spans="1:5" x14ac:dyDescent="0.35">
      <c r="A16" s="2">
        <v>20250210</v>
      </c>
      <c r="B16" s="5">
        <f t="shared" si="0"/>
        <v>45698</v>
      </c>
      <c r="C16" s="2">
        <f t="shared" si="1"/>
        <v>2</v>
      </c>
      <c r="D16" s="2">
        <f t="shared" si="2"/>
        <v>2025</v>
      </c>
      <c r="E16" s="2">
        <f t="shared" si="3"/>
        <v>1</v>
      </c>
    </row>
    <row r="17" spans="1:5" x14ac:dyDescent="0.35">
      <c r="A17" s="2">
        <v>20250129</v>
      </c>
      <c r="B17" s="5">
        <f t="shared" si="0"/>
        <v>45686</v>
      </c>
      <c r="C17" s="2">
        <f t="shared" si="1"/>
        <v>1</v>
      </c>
      <c r="D17" s="2">
        <f t="shared" si="2"/>
        <v>2025</v>
      </c>
      <c r="E17" s="2">
        <f t="shared" si="3"/>
        <v>1</v>
      </c>
    </row>
    <row r="18" spans="1:5" x14ac:dyDescent="0.35">
      <c r="A18" s="2">
        <v>20240416</v>
      </c>
      <c r="B18" s="5">
        <f t="shared" si="0"/>
        <v>45398</v>
      </c>
      <c r="C18" s="2">
        <f t="shared" si="1"/>
        <v>4</v>
      </c>
      <c r="D18" s="2">
        <f t="shared" si="2"/>
        <v>2024</v>
      </c>
      <c r="E18" s="2">
        <f t="shared" si="3"/>
        <v>2</v>
      </c>
    </row>
    <row r="19" spans="1:5" x14ac:dyDescent="0.35">
      <c r="A19" s="2">
        <v>20240512</v>
      </c>
      <c r="B19" s="5">
        <f t="shared" si="0"/>
        <v>45424</v>
      </c>
      <c r="C19" s="2">
        <f t="shared" si="1"/>
        <v>5</v>
      </c>
      <c r="D19" s="2">
        <f t="shared" si="2"/>
        <v>2024</v>
      </c>
      <c r="E19" s="2">
        <f t="shared" si="3"/>
        <v>2</v>
      </c>
    </row>
    <row r="20" spans="1:5" x14ac:dyDescent="0.35">
      <c r="A20" s="2">
        <v>20240430</v>
      </c>
      <c r="B20" s="5">
        <f t="shared" si="0"/>
        <v>45412</v>
      </c>
      <c r="C20" s="2">
        <f t="shared" si="1"/>
        <v>4</v>
      </c>
      <c r="D20" s="2">
        <f t="shared" si="2"/>
        <v>2024</v>
      </c>
      <c r="E20" s="2">
        <f t="shared" si="3"/>
        <v>2</v>
      </c>
    </row>
    <row r="21" spans="1:5" x14ac:dyDescent="0.35">
      <c r="A21" s="2">
        <v>20250208</v>
      </c>
      <c r="B21" s="5">
        <f t="shared" si="0"/>
        <v>45696</v>
      </c>
      <c r="C21" s="2">
        <f t="shared" si="1"/>
        <v>2</v>
      </c>
      <c r="D21" s="2">
        <f t="shared" si="2"/>
        <v>2025</v>
      </c>
      <c r="E21" s="2">
        <f t="shared" si="3"/>
        <v>1</v>
      </c>
    </row>
    <row r="22" spans="1:5" x14ac:dyDescent="0.35">
      <c r="A22" s="2">
        <v>20250125</v>
      </c>
      <c r="B22" s="5">
        <f t="shared" si="0"/>
        <v>45682</v>
      </c>
      <c r="C22" s="2">
        <f t="shared" si="1"/>
        <v>1</v>
      </c>
      <c r="D22" s="2">
        <f t="shared" si="2"/>
        <v>2025</v>
      </c>
      <c r="E22" s="2">
        <f t="shared" si="3"/>
        <v>1</v>
      </c>
    </row>
    <row r="23" spans="1:5" x14ac:dyDescent="0.35">
      <c r="A23" s="2">
        <v>20240330</v>
      </c>
      <c r="B23" s="5">
        <f t="shared" si="0"/>
        <v>45381</v>
      </c>
      <c r="C23" s="2">
        <f t="shared" si="1"/>
        <v>3</v>
      </c>
      <c r="D23" s="2">
        <f t="shared" si="2"/>
        <v>2024</v>
      </c>
      <c r="E23" s="2">
        <f t="shared" si="3"/>
        <v>1</v>
      </c>
    </row>
    <row r="24" spans="1:5" x14ac:dyDescent="0.35">
      <c r="A24" s="2">
        <v>20241113</v>
      </c>
      <c r="B24" s="5">
        <f t="shared" si="0"/>
        <v>45609</v>
      </c>
      <c r="C24" s="2">
        <f t="shared" si="1"/>
        <v>11</v>
      </c>
      <c r="D24" s="2">
        <f t="shared" si="2"/>
        <v>2024</v>
      </c>
      <c r="E24" s="2">
        <f t="shared" si="3"/>
        <v>3</v>
      </c>
    </row>
    <row r="25" spans="1:5" x14ac:dyDescent="0.35">
      <c r="A25" s="2">
        <v>20250409</v>
      </c>
      <c r="B25" s="5">
        <f t="shared" si="0"/>
        <v>45756</v>
      </c>
      <c r="C25" s="2">
        <f t="shared" si="1"/>
        <v>4</v>
      </c>
      <c r="D25" s="2">
        <f t="shared" si="2"/>
        <v>2025</v>
      </c>
      <c r="E25" s="2">
        <f t="shared" si="3"/>
        <v>2</v>
      </c>
    </row>
    <row r="26" spans="1:5" x14ac:dyDescent="0.35">
      <c r="A26" s="2">
        <v>20240525</v>
      </c>
      <c r="B26" s="5">
        <f t="shared" si="0"/>
        <v>45437</v>
      </c>
      <c r="C26" s="2">
        <f t="shared" si="1"/>
        <v>5</v>
      </c>
      <c r="D26" s="2">
        <f t="shared" si="2"/>
        <v>2024</v>
      </c>
      <c r="E26" s="2">
        <f t="shared" si="3"/>
        <v>2</v>
      </c>
    </row>
    <row r="27" spans="1:5" x14ac:dyDescent="0.35">
      <c r="A27" s="2">
        <v>20230710</v>
      </c>
      <c r="B27" s="5">
        <f t="shared" si="0"/>
        <v>45117</v>
      </c>
      <c r="C27" s="2">
        <f t="shared" si="1"/>
        <v>7</v>
      </c>
      <c r="D27" s="2">
        <f t="shared" si="2"/>
        <v>2023</v>
      </c>
      <c r="E27" s="2">
        <f t="shared" si="3"/>
        <v>2</v>
      </c>
    </row>
    <row r="28" spans="1:5" x14ac:dyDescent="0.35">
      <c r="A28" s="2">
        <v>20250130</v>
      </c>
      <c r="B28" s="5">
        <f t="shared" si="0"/>
        <v>45687</v>
      </c>
      <c r="C28" s="2">
        <f t="shared" si="1"/>
        <v>1</v>
      </c>
      <c r="D28" s="2">
        <f t="shared" si="2"/>
        <v>2025</v>
      </c>
      <c r="E28" s="2">
        <f t="shared" si="3"/>
        <v>1</v>
      </c>
    </row>
    <row r="29" spans="1:5" x14ac:dyDescent="0.35">
      <c r="A29" s="2">
        <v>20240214</v>
      </c>
      <c r="B29" s="5">
        <f t="shared" si="0"/>
        <v>45336</v>
      </c>
      <c r="C29" s="2">
        <f t="shared" si="1"/>
        <v>2</v>
      </c>
      <c r="D29" s="2">
        <f t="shared" si="2"/>
        <v>2024</v>
      </c>
      <c r="E29" s="2">
        <f t="shared" si="3"/>
        <v>1</v>
      </c>
    </row>
    <row r="30" spans="1:5" x14ac:dyDescent="0.35">
      <c r="A30" s="2">
        <v>20240403</v>
      </c>
      <c r="B30" s="5">
        <f t="shared" si="0"/>
        <v>45385</v>
      </c>
      <c r="C30" s="2">
        <f t="shared" si="1"/>
        <v>4</v>
      </c>
      <c r="D30" s="2">
        <f t="shared" si="2"/>
        <v>2024</v>
      </c>
      <c r="E30" s="2">
        <f t="shared" si="3"/>
        <v>2</v>
      </c>
    </row>
    <row r="31" spans="1:5" x14ac:dyDescent="0.35">
      <c r="A31" s="2">
        <v>20231213</v>
      </c>
      <c r="B31" s="5">
        <f t="shared" si="0"/>
        <v>45273</v>
      </c>
      <c r="C31" s="2">
        <f t="shared" si="1"/>
        <v>12</v>
      </c>
      <c r="D31" s="2">
        <f t="shared" si="2"/>
        <v>2023</v>
      </c>
      <c r="E31" s="2">
        <f t="shared" si="3"/>
        <v>4</v>
      </c>
    </row>
    <row r="32" spans="1:5" x14ac:dyDescent="0.35">
      <c r="A32" s="2">
        <v>20250617</v>
      </c>
      <c r="B32" s="5">
        <f t="shared" si="0"/>
        <v>45825</v>
      </c>
      <c r="C32" s="2">
        <f t="shared" si="1"/>
        <v>6</v>
      </c>
      <c r="D32" s="2">
        <f t="shared" si="2"/>
        <v>2025</v>
      </c>
      <c r="E32" s="2">
        <f t="shared" si="3"/>
        <v>2</v>
      </c>
    </row>
    <row r="33" spans="1:5" x14ac:dyDescent="0.35">
      <c r="A33" s="2">
        <v>20250508</v>
      </c>
      <c r="B33" s="5">
        <f t="shared" si="0"/>
        <v>45785</v>
      </c>
      <c r="C33" s="2">
        <f t="shared" si="1"/>
        <v>5</v>
      </c>
      <c r="D33" s="2">
        <f t="shared" si="2"/>
        <v>2025</v>
      </c>
      <c r="E33" s="2">
        <f t="shared" si="3"/>
        <v>2</v>
      </c>
    </row>
    <row r="34" spans="1:5" x14ac:dyDescent="0.35">
      <c r="A34" s="2">
        <v>20250404</v>
      </c>
      <c r="B34" s="5">
        <f t="shared" si="0"/>
        <v>45751</v>
      </c>
      <c r="C34" s="2">
        <f t="shared" si="1"/>
        <v>4</v>
      </c>
      <c r="D34" s="2">
        <f t="shared" si="2"/>
        <v>2025</v>
      </c>
      <c r="E34" s="2">
        <f t="shared" si="3"/>
        <v>2</v>
      </c>
    </row>
    <row r="35" spans="1:5" x14ac:dyDescent="0.35">
      <c r="A35" s="2">
        <v>20241106</v>
      </c>
      <c r="B35" s="5">
        <f t="shared" si="0"/>
        <v>45602</v>
      </c>
      <c r="C35" s="2">
        <f t="shared" si="1"/>
        <v>11</v>
      </c>
      <c r="D35" s="2">
        <f t="shared" si="2"/>
        <v>2024</v>
      </c>
      <c r="E35" s="2">
        <f t="shared" si="3"/>
        <v>3</v>
      </c>
    </row>
    <row r="36" spans="1:5" x14ac:dyDescent="0.35">
      <c r="A36" s="2">
        <v>20240417</v>
      </c>
      <c r="B36" s="5">
        <f t="shared" si="0"/>
        <v>45399</v>
      </c>
      <c r="C36" s="2">
        <f t="shared" si="1"/>
        <v>4</v>
      </c>
      <c r="D36" s="2">
        <f t="shared" si="2"/>
        <v>2024</v>
      </c>
      <c r="E36" s="2">
        <f t="shared" si="3"/>
        <v>2</v>
      </c>
    </row>
    <row r="37" spans="1:5" x14ac:dyDescent="0.35">
      <c r="A37" s="2">
        <v>20240612</v>
      </c>
      <c r="B37" s="5">
        <f t="shared" si="0"/>
        <v>45455</v>
      </c>
      <c r="C37" s="2">
        <f t="shared" si="1"/>
        <v>6</v>
      </c>
      <c r="D37" s="2">
        <f t="shared" si="2"/>
        <v>2024</v>
      </c>
      <c r="E37" s="2">
        <f t="shared" si="3"/>
        <v>2</v>
      </c>
    </row>
    <row r="38" spans="1:5" x14ac:dyDescent="0.35">
      <c r="A38" s="2">
        <v>20250306</v>
      </c>
      <c r="B38" s="5">
        <f t="shared" si="0"/>
        <v>45722</v>
      </c>
      <c r="C38" s="2">
        <f t="shared" si="1"/>
        <v>3</v>
      </c>
      <c r="D38" s="2">
        <f t="shared" si="2"/>
        <v>2025</v>
      </c>
      <c r="E38" s="2">
        <f t="shared" si="3"/>
        <v>1</v>
      </c>
    </row>
    <row r="39" spans="1:5" x14ac:dyDescent="0.35">
      <c r="A39" s="2">
        <v>20240505</v>
      </c>
      <c r="B39" s="5">
        <f t="shared" si="0"/>
        <v>45417</v>
      </c>
      <c r="C39" s="2">
        <f t="shared" si="1"/>
        <v>5</v>
      </c>
      <c r="D39" s="2">
        <f t="shared" si="2"/>
        <v>2024</v>
      </c>
      <c r="E39" s="2">
        <f t="shared" si="3"/>
        <v>2</v>
      </c>
    </row>
    <row r="40" spans="1:5" x14ac:dyDescent="0.35">
      <c r="A40" s="2">
        <v>20240620</v>
      </c>
      <c r="B40" s="5">
        <f t="shared" si="0"/>
        <v>45463</v>
      </c>
      <c r="C40" s="2">
        <f t="shared" si="1"/>
        <v>6</v>
      </c>
      <c r="D40" s="2">
        <f t="shared" si="2"/>
        <v>2024</v>
      </c>
      <c r="E40" s="2">
        <f t="shared" si="3"/>
        <v>2</v>
      </c>
    </row>
    <row r="41" spans="1:5" x14ac:dyDescent="0.35">
      <c r="A41" s="2">
        <v>20250612</v>
      </c>
      <c r="B41" s="5">
        <f t="shared" si="0"/>
        <v>45820</v>
      </c>
      <c r="C41" s="2">
        <f t="shared" si="1"/>
        <v>6</v>
      </c>
      <c r="D41" s="2">
        <f t="shared" si="2"/>
        <v>2025</v>
      </c>
      <c r="E41" s="2">
        <f t="shared" si="3"/>
        <v>2</v>
      </c>
    </row>
    <row r="42" spans="1:5" x14ac:dyDescent="0.35">
      <c r="A42" s="2">
        <v>20240523</v>
      </c>
      <c r="B42" s="5">
        <f t="shared" si="0"/>
        <v>45435</v>
      </c>
      <c r="C42" s="2">
        <f t="shared" si="1"/>
        <v>5</v>
      </c>
      <c r="D42" s="2">
        <f t="shared" si="2"/>
        <v>2024</v>
      </c>
      <c r="E42" s="2">
        <f t="shared" si="3"/>
        <v>2</v>
      </c>
    </row>
    <row r="43" spans="1:5" x14ac:dyDescent="0.35">
      <c r="A43" s="2">
        <v>20241001</v>
      </c>
      <c r="B43" s="5">
        <f t="shared" si="0"/>
        <v>45566</v>
      </c>
      <c r="C43" s="2">
        <f t="shared" si="1"/>
        <v>10</v>
      </c>
      <c r="D43" s="2">
        <f t="shared" si="2"/>
        <v>2024</v>
      </c>
      <c r="E43" s="2">
        <f t="shared" si="3"/>
        <v>3</v>
      </c>
    </row>
    <row r="44" spans="1:5" x14ac:dyDescent="0.35">
      <c r="A44" s="2">
        <v>20241229</v>
      </c>
      <c r="B44" s="5">
        <f t="shared" si="0"/>
        <v>45655</v>
      </c>
      <c r="C44" s="2">
        <f t="shared" si="1"/>
        <v>12</v>
      </c>
      <c r="D44" s="2">
        <f t="shared" si="2"/>
        <v>2024</v>
      </c>
      <c r="E44" s="2">
        <f t="shared" si="3"/>
        <v>4</v>
      </c>
    </row>
    <row r="45" spans="1:5" x14ac:dyDescent="0.35">
      <c r="A45" s="2">
        <v>20240109</v>
      </c>
      <c r="B45" s="5">
        <f t="shared" si="0"/>
        <v>45300</v>
      </c>
      <c r="C45" s="2">
        <f t="shared" si="1"/>
        <v>1</v>
      </c>
      <c r="D45" s="2">
        <f t="shared" si="2"/>
        <v>2024</v>
      </c>
      <c r="E45" s="2">
        <f t="shared" si="3"/>
        <v>1</v>
      </c>
    </row>
    <row r="46" spans="1:5" x14ac:dyDescent="0.35">
      <c r="A46" s="2">
        <v>20250501</v>
      </c>
      <c r="B46" s="5">
        <f t="shared" si="0"/>
        <v>45778</v>
      </c>
      <c r="C46" s="2">
        <f t="shared" si="1"/>
        <v>5</v>
      </c>
      <c r="D46" s="2">
        <f t="shared" si="2"/>
        <v>2025</v>
      </c>
      <c r="E46" s="2">
        <f t="shared" si="3"/>
        <v>2</v>
      </c>
    </row>
    <row r="47" spans="1:5" x14ac:dyDescent="0.35">
      <c r="A47" s="2">
        <v>20231209</v>
      </c>
      <c r="B47" s="5">
        <f t="shared" si="0"/>
        <v>45269</v>
      </c>
      <c r="C47" s="2">
        <f t="shared" si="1"/>
        <v>12</v>
      </c>
      <c r="D47" s="2">
        <f t="shared" si="2"/>
        <v>2023</v>
      </c>
      <c r="E47" s="2">
        <f t="shared" si="3"/>
        <v>4</v>
      </c>
    </row>
    <row r="48" spans="1:5" x14ac:dyDescent="0.35">
      <c r="A48" s="2">
        <v>20240425</v>
      </c>
      <c r="B48" s="5">
        <f t="shared" si="0"/>
        <v>45407</v>
      </c>
      <c r="C48" s="2">
        <f t="shared" si="1"/>
        <v>4</v>
      </c>
      <c r="D48" s="2">
        <f t="shared" si="2"/>
        <v>2024</v>
      </c>
      <c r="E48" s="2">
        <f t="shared" si="3"/>
        <v>2</v>
      </c>
    </row>
    <row r="49" spans="1:5" x14ac:dyDescent="0.35">
      <c r="A49" s="2">
        <v>20240506</v>
      </c>
      <c r="B49" s="5">
        <f t="shared" si="0"/>
        <v>45418</v>
      </c>
      <c r="C49" s="2">
        <f t="shared" si="1"/>
        <v>5</v>
      </c>
      <c r="D49" s="2">
        <f t="shared" si="2"/>
        <v>2024</v>
      </c>
      <c r="E49" s="2">
        <f t="shared" si="3"/>
        <v>2</v>
      </c>
    </row>
    <row r="50" spans="1:5" x14ac:dyDescent="0.35">
      <c r="A50" s="2">
        <v>20240421</v>
      </c>
      <c r="B50" s="5">
        <f t="shared" si="0"/>
        <v>45403</v>
      </c>
      <c r="C50" s="2">
        <f t="shared" si="1"/>
        <v>4</v>
      </c>
      <c r="D50" s="2">
        <f t="shared" si="2"/>
        <v>2024</v>
      </c>
      <c r="E50" s="2">
        <f t="shared" si="3"/>
        <v>2</v>
      </c>
    </row>
    <row r="51" spans="1:5" x14ac:dyDescent="0.35">
      <c r="A51" s="2">
        <v>20240213</v>
      </c>
      <c r="B51" s="5">
        <f t="shared" si="0"/>
        <v>45335</v>
      </c>
      <c r="C51" s="2">
        <f t="shared" si="1"/>
        <v>2</v>
      </c>
      <c r="D51" s="2">
        <f t="shared" si="2"/>
        <v>2024</v>
      </c>
      <c r="E51" s="2">
        <f t="shared" si="3"/>
        <v>1</v>
      </c>
    </row>
    <row r="52" spans="1:5" x14ac:dyDescent="0.35">
      <c r="A52" s="2">
        <v>20250530</v>
      </c>
      <c r="B52" s="5">
        <f t="shared" si="0"/>
        <v>45807</v>
      </c>
      <c r="C52" s="2">
        <f t="shared" si="1"/>
        <v>5</v>
      </c>
      <c r="D52" s="2">
        <f t="shared" si="2"/>
        <v>2025</v>
      </c>
      <c r="E52" s="2">
        <f t="shared" si="3"/>
        <v>2</v>
      </c>
    </row>
    <row r="53" spans="1:5" x14ac:dyDescent="0.35">
      <c r="A53" s="2">
        <v>20250616</v>
      </c>
      <c r="B53" s="5">
        <f t="shared" si="0"/>
        <v>45824</v>
      </c>
      <c r="C53" s="2">
        <f t="shared" si="1"/>
        <v>6</v>
      </c>
      <c r="D53" s="2">
        <f t="shared" si="2"/>
        <v>2025</v>
      </c>
      <c r="E53" s="2">
        <f t="shared" si="3"/>
        <v>2</v>
      </c>
    </row>
    <row r="54" spans="1:5" x14ac:dyDescent="0.35">
      <c r="A54" s="2">
        <v>20250329</v>
      </c>
      <c r="B54" s="5">
        <f t="shared" si="0"/>
        <v>45745</v>
      </c>
      <c r="C54" s="2">
        <f t="shared" si="1"/>
        <v>3</v>
      </c>
      <c r="D54" s="2">
        <f t="shared" si="2"/>
        <v>2025</v>
      </c>
      <c r="E54" s="2">
        <f t="shared" si="3"/>
        <v>1</v>
      </c>
    </row>
    <row r="55" spans="1:5" x14ac:dyDescent="0.35">
      <c r="A55" s="2">
        <v>20240827</v>
      </c>
      <c r="B55" s="5">
        <f t="shared" si="0"/>
        <v>45531</v>
      </c>
      <c r="C55" s="2">
        <f t="shared" si="1"/>
        <v>8</v>
      </c>
      <c r="D55" s="2">
        <f t="shared" si="2"/>
        <v>2024</v>
      </c>
      <c r="E55" s="2">
        <f t="shared" si="3"/>
        <v>3</v>
      </c>
    </row>
    <row r="56" spans="1:5" x14ac:dyDescent="0.35">
      <c r="A56" s="2">
        <v>20250513</v>
      </c>
      <c r="B56" s="5">
        <f t="shared" si="0"/>
        <v>45790</v>
      </c>
      <c r="C56" s="2">
        <f t="shared" si="1"/>
        <v>5</v>
      </c>
      <c r="D56" s="2">
        <f t="shared" si="2"/>
        <v>2025</v>
      </c>
      <c r="E56" s="2">
        <f t="shared" si="3"/>
        <v>2</v>
      </c>
    </row>
    <row r="57" spans="1:5" x14ac:dyDescent="0.35">
      <c r="A57" s="2">
        <v>20230923</v>
      </c>
      <c r="B57" s="5">
        <f t="shared" si="0"/>
        <v>45192</v>
      </c>
      <c r="C57" s="2">
        <f t="shared" si="1"/>
        <v>9</v>
      </c>
      <c r="D57" s="2">
        <f t="shared" si="2"/>
        <v>2023</v>
      </c>
      <c r="E57" s="2">
        <f t="shared" si="3"/>
        <v>3</v>
      </c>
    </row>
    <row r="58" spans="1:5" x14ac:dyDescent="0.35">
      <c r="A58" s="2">
        <v>20240508</v>
      </c>
      <c r="B58" s="5">
        <f t="shared" si="0"/>
        <v>45420</v>
      </c>
      <c r="C58" s="2">
        <f t="shared" si="1"/>
        <v>5</v>
      </c>
      <c r="D58" s="2">
        <f t="shared" si="2"/>
        <v>2024</v>
      </c>
      <c r="E58" s="2">
        <f t="shared" si="3"/>
        <v>2</v>
      </c>
    </row>
    <row r="59" spans="1:5" x14ac:dyDescent="0.35">
      <c r="A59" s="2">
        <v>20240313</v>
      </c>
      <c r="B59" s="5">
        <f t="shared" si="0"/>
        <v>45364</v>
      </c>
      <c r="C59" s="2">
        <f t="shared" si="1"/>
        <v>3</v>
      </c>
      <c r="D59" s="2">
        <f t="shared" si="2"/>
        <v>2024</v>
      </c>
      <c r="E59" s="2">
        <f t="shared" si="3"/>
        <v>1</v>
      </c>
    </row>
    <row r="60" spans="1:5" x14ac:dyDescent="0.35">
      <c r="A60" s="2">
        <v>20240920</v>
      </c>
      <c r="B60" s="5">
        <f t="shared" si="0"/>
        <v>45555</v>
      </c>
      <c r="C60" s="2">
        <f t="shared" si="1"/>
        <v>9</v>
      </c>
      <c r="D60" s="2">
        <f t="shared" si="2"/>
        <v>2024</v>
      </c>
      <c r="E60" s="2">
        <f t="shared" si="3"/>
        <v>3</v>
      </c>
    </row>
    <row r="61" spans="1:5" x14ac:dyDescent="0.35">
      <c r="A61" s="2">
        <v>20240331</v>
      </c>
      <c r="B61" s="5">
        <f t="shared" si="0"/>
        <v>45382</v>
      </c>
      <c r="C61" s="2">
        <f t="shared" si="1"/>
        <v>3</v>
      </c>
      <c r="D61" s="2">
        <f t="shared" si="2"/>
        <v>2024</v>
      </c>
      <c r="E61" s="2">
        <f t="shared" si="3"/>
        <v>1</v>
      </c>
    </row>
    <row r="62" spans="1:5" x14ac:dyDescent="0.35">
      <c r="A62" s="2">
        <v>20240622</v>
      </c>
      <c r="B62" s="5">
        <f t="shared" si="0"/>
        <v>45465</v>
      </c>
      <c r="C62" s="2">
        <f t="shared" si="1"/>
        <v>6</v>
      </c>
      <c r="D62" s="2">
        <f t="shared" si="2"/>
        <v>2024</v>
      </c>
      <c r="E62" s="2">
        <f t="shared" si="3"/>
        <v>2</v>
      </c>
    </row>
    <row r="63" spans="1:5" x14ac:dyDescent="0.35">
      <c r="A63" s="2">
        <v>20241128</v>
      </c>
      <c r="B63" s="5">
        <f t="shared" si="0"/>
        <v>45624</v>
      </c>
      <c r="C63" s="2">
        <f t="shared" si="1"/>
        <v>11</v>
      </c>
      <c r="D63" s="2">
        <f t="shared" si="2"/>
        <v>2024</v>
      </c>
      <c r="E63" s="2">
        <f t="shared" si="3"/>
        <v>3</v>
      </c>
    </row>
    <row r="64" spans="1:5" x14ac:dyDescent="0.35">
      <c r="A64" s="2">
        <v>20230826</v>
      </c>
      <c r="B64" s="5">
        <f t="shared" si="0"/>
        <v>45164</v>
      </c>
      <c r="C64" s="2">
        <f t="shared" si="1"/>
        <v>8</v>
      </c>
      <c r="D64" s="2">
        <f t="shared" si="2"/>
        <v>2023</v>
      </c>
      <c r="E64" s="2">
        <f t="shared" si="3"/>
        <v>3</v>
      </c>
    </row>
    <row r="65" spans="1:5" x14ac:dyDescent="0.35">
      <c r="A65" s="2">
        <v>20231231</v>
      </c>
      <c r="B65" s="5">
        <f t="shared" si="0"/>
        <v>45291</v>
      </c>
      <c r="C65" s="2">
        <f t="shared" si="1"/>
        <v>12</v>
      </c>
      <c r="D65" s="2">
        <f t="shared" si="2"/>
        <v>2023</v>
      </c>
      <c r="E65" s="2">
        <f t="shared" si="3"/>
        <v>4</v>
      </c>
    </row>
    <row r="66" spans="1:5" x14ac:dyDescent="0.35">
      <c r="A66" s="2">
        <v>20250221</v>
      </c>
      <c r="B66" s="5">
        <f t="shared" si="0"/>
        <v>45709</v>
      </c>
      <c r="C66" s="2">
        <f t="shared" si="1"/>
        <v>2</v>
      </c>
      <c r="D66" s="2">
        <f t="shared" si="2"/>
        <v>2025</v>
      </c>
      <c r="E66" s="2">
        <f t="shared" si="3"/>
        <v>1</v>
      </c>
    </row>
    <row r="67" spans="1:5" x14ac:dyDescent="0.35">
      <c r="A67" s="2">
        <v>20240305</v>
      </c>
      <c r="B67" s="5">
        <f t="shared" ref="B67:B108" si="4">DATE(LEFT(A67,4),MID(A67,5,2),RIGHT(A67,2))</f>
        <v>45356</v>
      </c>
      <c r="C67" s="2">
        <f t="shared" ref="C67:C108" si="5">MONTH(B67)</f>
        <v>3</v>
      </c>
      <c r="D67" s="2">
        <f t="shared" ref="D67:D108" si="6">YEAR(B67)</f>
        <v>2024</v>
      </c>
      <c r="E67" s="2">
        <f t="shared" ref="E67:E108" si="7">INT(C67/4)+1</f>
        <v>1</v>
      </c>
    </row>
    <row r="68" spans="1:5" x14ac:dyDescent="0.35">
      <c r="A68" s="2">
        <v>20240923</v>
      </c>
      <c r="B68" s="5">
        <f t="shared" si="4"/>
        <v>45558</v>
      </c>
      <c r="C68" s="2">
        <f t="shared" si="5"/>
        <v>9</v>
      </c>
      <c r="D68" s="2">
        <f t="shared" si="6"/>
        <v>2024</v>
      </c>
      <c r="E68" s="2">
        <f t="shared" si="7"/>
        <v>3</v>
      </c>
    </row>
    <row r="69" spans="1:5" x14ac:dyDescent="0.35">
      <c r="A69" s="2">
        <v>20240515</v>
      </c>
      <c r="B69" s="5">
        <f t="shared" si="4"/>
        <v>45427</v>
      </c>
      <c r="C69" s="2">
        <f t="shared" si="5"/>
        <v>5</v>
      </c>
      <c r="D69" s="2">
        <f t="shared" si="6"/>
        <v>2024</v>
      </c>
      <c r="E69" s="2">
        <f t="shared" si="7"/>
        <v>2</v>
      </c>
    </row>
    <row r="70" spans="1:5" x14ac:dyDescent="0.35">
      <c r="A70" s="2">
        <v>20240820</v>
      </c>
      <c r="B70" s="5">
        <f t="shared" si="4"/>
        <v>45524</v>
      </c>
      <c r="C70" s="2">
        <f t="shared" si="5"/>
        <v>8</v>
      </c>
      <c r="D70" s="2">
        <f t="shared" si="6"/>
        <v>2024</v>
      </c>
      <c r="E70" s="2">
        <f t="shared" si="7"/>
        <v>3</v>
      </c>
    </row>
    <row r="71" spans="1:5" x14ac:dyDescent="0.35">
      <c r="A71" s="2">
        <v>20250413</v>
      </c>
      <c r="B71" s="5">
        <f t="shared" si="4"/>
        <v>45760</v>
      </c>
      <c r="C71" s="2">
        <f t="shared" si="5"/>
        <v>4</v>
      </c>
      <c r="D71" s="2">
        <f t="shared" si="6"/>
        <v>2025</v>
      </c>
      <c r="E71" s="2">
        <f t="shared" si="7"/>
        <v>2</v>
      </c>
    </row>
    <row r="72" spans="1:5" x14ac:dyDescent="0.35">
      <c r="A72" s="2">
        <v>20250122</v>
      </c>
      <c r="B72" s="5">
        <f t="shared" si="4"/>
        <v>45679</v>
      </c>
      <c r="C72" s="2">
        <f t="shared" si="5"/>
        <v>1</v>
      </c>
      <c r="D72" s="2">
        <f t="shared" si="6"/>
        <v>2025</v>
      </c>
      <c r="E72" s="2">
        <f t="shared" si="7"/>
        <v>1</v>
      </c>
    </row>
    <row r="73" spans="1:5" x14ac:dyDescent="0.35">
      <c r="A73" s="2">
        <v>20230727</v>
      </c>
      <c r="B73" s="5">
        <f t="shared" si="4"/>
        <v>45134</v>
      </c>
      <c r="C73" s="2">
        <f t="shared" si="5"/>
        <v>7</v>
      </c>
      <c r="D73" s="2">
        <f t="shared" si="6"/>
        <v>2023</v>
      </c>
      <c r="E73" s="2">
        <f t="shared" si="7"/>
        <v>2</v>
      </c>
    </row>
    <row r="74" spans="1:5" x14ac:dyDescent="0.35">
      <c r="A74" s="2">
        <v>20241008</v>
      </c>
      <c r="B74" s="5">
        <f t="shared" si="4"/>
        <v>45573</v>
      </c>
      <c r="C74" s="2">
        <f t="shared" si="5"/>
        <v>10</v>
      </c>
      <c r="D74" s="2">
        <f t="shared" si="6"/>
        <v>2024</v>
      </c>
      <c r="E74" s="2">
        <f t="shared" si="7"/>
        <v>3</v>
      </c>
    </row>
    <row r="75" spans="1:5" x14ac:dyDescent="0.35">
      <c r="A75" s="2">
        <v>20250411</v>
      </c>
      <c r="B75" s="5">
        <f t="shared" si="4"/>
        <v>45758</v>
      </c>
      <c r="C75" s="2">
        <f t="shared" si="5"/>
        <v>4</v>
      </c>
      <c r="D75" s="2">
        <f t="shared" si="6"/>
        <v>2025</v>
      </c>
      <c r="E75" s="2">
        <f t="shared" si="7"/>
        <v>2</v>
      </c>
    </row>
    <row r="76" spans="1:5" x14ac:dyDescent="0.35">
      <c r="A76" s="2">
        <v>20240502</v>
      </c>
      <c r="B76" s="5">
        <f t="shared" si="4"/>
        <v>45414</v>
      </c>
      <c r="C76" s="2">
        <f t="shared" si="5"/>
        <v>5</v>
      </c>
      <c r="D76" s="2">
        <f t="shared" si="6"/>
        <v>2024</v>
      </c>
      <c r="E76" s="2">
        <f t="shared" si="7"/>
        <v>2</v>
      </c>
    </row>
    <row r="77" spans="1:5" x14ac:dyDescent="0.35">
      <c r="A77" s="2">
        <v>20230806</v>
      </c>
      <c r="B77" s="5">
        <f t="shared" si="4"/>
        <v>45144</v>
      </c>
      <c r="C77" s="2">
        <f t="shared" si="5"/>
        <v>8</v>
      </c>
      <c r="D77" s="2">
        <f t="shared" si="6"/>
        <v>2023</v>
      </c>
      <c r="E77" s="2">
        <f t="shared" si="7"/>
        <v>3</v>
      </c>
    </row>
    <row r="78" spans="1:5" x14ac:dyDescent="0.35">
      <c r="A78" s="2">
        <v>20240626</v>
      </c>
      <c r="B78" s="5">
        <f t="shared" si="4"/>
        <v>45469</v>
      </c>
      <c r="C78" s="2">
        <f t="shared" si="5"/>
        <v>6</v>
      </c>
      <c r="D78" s="2">
        <f t="shared" si="6"/>
        <v>2024</v>
      </c>
      <c r="E78" s="2">
        <f t="shared" si="7"/>
        <v>2</v>
      </c>
    </row>
    <row r="79" spans="1:5" x14ac:dyDescent="0.35">
      <c r="A79" s="2">
        <v>20240606</v>
      </c>
      <c r="B79" s="5">
        <f t="shared" si="4"/>
        <v>45449</v>
      </c>
      <c r="C79" s="2">
        <f t="shared" si="5"/>
        <v>6</v>
      </c>
      <c r="D79" s="2">
        <f t="shared" si="6"/>
        <v>2024</v>
      </c>
      <c r="E79" s="2">
        <f t="shared" si="7"/>
        <v>2</v>
      </c>
    </row>
    <row r="80" spans="1:5" x14ac:dyDescent="0.35">
      <c r="A80" s="2">
        <v>20240122</v>
      </c>
      <c r="B80" s="5">
        <f t="shared" si="4"/>
        <v>45313</v>
      </c>
      <c r="C80" s="2">
        <f t="shared" si="5"/>
        <v>1</v>
      </c>
      <c r="D80" s="2">
        <f t="shared" si="6"/>
        <v>2024</v>
      </c>
      <c r="E80" s="2">
        <f t="shared" si="7"/>
        <v>1</v>
      </c>
    </row>
    <row r="81" spans="1:5" x14ac:dyDescent="0.35">
      <c r="A81" s="2">
        <v>20240818</v>
      </c>
      <c r="B81" s="5">
        <f t="shared" si="4"/>
        <v>45522</v>
      </c>
      <c r="C81" s="2">
        <f t="shared" si="5"/>
        <v>8</v>
      </c>
      <c r="D81" s="2">
        <f t="shared" si="6"/>
        <v>2024</v>
      </c>
      <c r="E81" s="2">
        <f t="shared" si="7"/>
        <v>3</v>
      </c>
    </row>
    <row r="82" spans="1:5" x14ac:dyDescent="0.35">
      <c r="A82" s="2">
        <v>20240407</v>
      </c>
      <c r="B82" s="5">
        <f t="shared" si="4"/>
        <v>45389</v>
      </c>
      <c r="C82" s="2">
        <f t="shared" si="5"/>
        <v>4</v>
      </c>
      <c r="D82" s="2">
        <f t="shared" si="6"/>
        <v>2024</v>
      </c>
      <c r="E82" s="2">
        <f t="shared" si="7"/>
        <v>2</v>
      </c>
    </row>
    <row r="83" spans="1:5" x14ac:dyDescent="0.35">
      <c r="A83" s="2">
        <v>20240401</v>
      </c>
      <c r="B83" s="5">
        <f t="shared" si="4"/>
        <v>45383</v>
      </c>
      <c r="C83" s="2">
        <f t="shared" si="5"/>
        <v>4</v>
      </c>
      <c r="D83" s="2">
        <f t="shared" si="6"/>
        <v>2024</v>
      </c>
      <c r="E83" s="2">
        <f t="shared" si="7"/>
        <v>2</v>
      </c>
    </row>
    <row r="84" spans="1:5" x14ac:dyDescent="0.35">
      <c r="A84" s="2">
        <v>20231001</v>
      </c>
      <c r="B84" s="5">
        <f t="shared" si="4"/>
        <v>45200</v>
      </c>
      <c r="C84" s="2">
        <f t="shared" si="5"/>
        <v>10</v>
      </c>
      <c r="D84" s="2">
        <f t="shared" si="6"/>
        <v>2023</v>
      </c>
      <c r="E84" s="2">
        <f t="shared" si="7"/>
        <v>3</v>
      </c>
    </row>
    <row r="85" spans="1:5" x14ac:dyDescent="0.35">
      <c r="A85" s="2">
        <v>20250323</v>
      </c>
      <c r="B85" s="5">
        <f t="shared" si="4"/>
        <v>45739</v>
      </c>
      <c r="C85" s="2">
        <f t="shared" si="5"/>
        <v>3</v>
      </c>
      <c r="D85" s="2">
        <f t="shared" si="6"/>
        <v>2025</v>
      </c>
      <c r="E85" s="2">
        <f t="shared" si="7"/>
        <v>1</v>
      </c>
    </row>
    <row r="86" spans="1:5" x14ac:dyDescent="0.35">
      <c r="A86" s="2">
        <v>20240614</v>
      </c>
      <c r="B86" s="5">
        <f t="shared" si="4"/>
        <v>45457</v>
      </c>
      <c r="C86" s="2">
        <f t="shared" si="5"/>
        <v>6</v>
      </c>
      <c r="D86" s="2">
        <f t="shared" si="6"/>
        <v>2024</v>
      </c>
      <c r="E86" s="2">
        <f t="shared" si="7"/>
        <v>2</v>
      </c>
    </row>
    <row r="87" spans="1:5" x14ac:dyDescent="0.35">
      <c r="A87" s="2">
        <v>20250325</v>
      </c>
      <c r="B87" s="5">
        <f t="shared" si="4"/>
        <v>45741</v>
      </c>
      <c r="C87" s="2">
        <f t="shared" si="5"/>
        <v>3</v>
      </c>
      <c r="D87" s="2">
        <f t="shared" si="6"/>
        <v>2025</v>
      </c>
      <c r="E87" s="2">
        <f t="shared" si="7"/>
        <v>1</v>
      </c>
    </row>
    <row r="88" spans="1:5" x14ac:dyDescent="0.35">
      <c r="A88" s="2">
        <v>20240725</v>
      </c>
      <c r="B88" s="5">
        <f t="shared" si="4"/>
        <v>45498</v>
      </c>
      <c r="C88" s="2">
        <f t="shared" si="5"/>
        <v>7</v>
      </c>
      <c r="D88" s="2">
        <f t="shared" si="6"/>
        <v>2024</v>
      </c>
      <c r="E88" s="2">
        <f t="shared" si="7"/>
        <v>2</v>
      </c>
    </row>
    <row r="89" spans="1:5" x14ac:dyDescent="0.35">
      <c r="A89" s="2">
        <v>20240310</v>
      </c>
      <c r="B89" s="5">
        <f t="shared" si="4"/>
        <v>45361</v>
      </c>
      <c r="C89" s="2">
        <f t="shared" si="5"/>
        <v>3</v>
      </c>
      <c r="D89" s="2">
        <f t="shared" si="6"/>
        <v>2024</v>
      </c>
      <c r="E89" s="2">
        <f t="shared" si="7"/>
        <v>1</v>
      </c>
    </row>
    <row r="90" spans="1:5" x14ac:dyDescent="0.35">
      <c r="A90" s="2">
        <v>20250605</v>
      </c>
      <c r="B90" s="5">
        <f t="shared" si="4"/>
        <v>45813</v>
      </c>
      <c r="C90" s="2">
        <f t="shared" si="5"/>
        <v>6</v>
      </c>
      <c r="D90" s="2">
        <f t="shared" si="6"/>
        <v>2025</v>
      </c>
      <c r="E90" s="2">
        <f t="shared" si="7"/>
        <v>2</v>
      </c>
    </row>
    <row r="91" spans="1:5" x14ac:dyDescent="0.35">
      <c r="A91" s="2">
        <v>20240215</v>
      </c>
      <c r="B91" s="5">
        <f t="shared" si="4"/>
        <v>45337</v>
      </c>
      <c r="C91" s="2">
        <f t="shared" si="5"/>
        <v>2</v>
      </c>
      <c r="D91" s="2">
        <f t="shared" si="6"/>
        <v>2024</v>
      </c>
      <c r="E91" s="2">
        <f t="shared" si="7"/>
        <v>1</v>
      </c>
    </row>
    <row r="92" spans="1:5" x14ac:dyDescent="0.35">
      <c r="A92" s="2">
        <v>20250601</v>
      </c>
      <c r="B92" s="5">
        <f t="shared" si="4"/>
        <v>45809</v>
      </c>
      <c r="C92" s="2">
        <f t="shared" si="5"/>
        <v>6</v>
      </c>
      <c r="D92" s="2">
        <f t="shared" si="6"/>
        <v>2025</v>
      </c>
      <c r="E92" s="2">
        <f t="shared" si="7"/>
        <v>2</v>
      </c>
    </row>
    <row r="93" spans="1:5" x14ac:dyDescent="0.35">
      <c r="A93" s="2">
        <v>20250301</v>
      </c>
      <c r="B93" s="5">
        <f t="shared" si="4"/>
        <v>45717</v>
      </c>
      <c r="C93" s="2">
        <f t="shared" si="5"/>
        <v>3</v>
      </c>
      <c r="D93" s="2">
        <f t="shared" si="6"/>
        <v>2025</v>
      </c>
      <c r="E93" s="2">
        <f t="shared" si="7"/>
        <v>1</v>
      </c>
    </row>
    <row r="94" spans="1:5" x14ac:dyDescent="0.35">
      <c r="A94" s="2">
        <v>20250101</v>
      </c>
      <c r="B94" s="5">
        <f t="shared" si="4"/>
        <v>45658</v>
      </c>
      <c r="C94" s="2">
        <f t="shared" si="5"/>
        <v>1</v>
      </c>
      <c r="D94" s="2">
        <f t="shared" si="6"/>
        <v>2025</v>
      </c>
      <c r="E94" s="2">
        <f t="shared" si="7"/>
        <v>1</v>
      </c>
    </row>
    <row r="95" spans="1:5" x14ac:dyDescent="0.35">
      <c r="A95" s="2">
        <v>20240601</v>
      </c>
      <c r="B95" s="5">
        <f t="shared" si="4"/>
        <v>45444</v>
      </c>
      <c r="C95" s="2">
        <f t="shared" si="5"/>
        <v>6</v>
      </c>
      <c r="D95" s="2">
        <f t="shared" si="6"/>
        <v>2024</v>
      </c>
      <c r="E95" s="2">
        <f t="shared" si="7"/>
        <v>2</v>
      </c>
    </row>
    <row r="96" spans="1:5" x14ac:dyDescent="0.35">
      <c r="A96" s="2">
        <v>20240801</v>
      </c>
      <c r="B96" s="5">
        <f t="shared" si="4"/>
        <v>45505</v>
      </c>
      <c r="C96" s="2">
        <f t="shared" si="5"/>
        <v>8</v>
      </c>
      <c r="D96" s="2">
        <f t="shared" si="6"/>
        <v>2024</v>
      </c>
      <c r="E96" s="2">
        <f t="shared" si="7"/>
        <v>3</v>
      </c>
    </row>
    <row r="97" spans="1:5" x14ac:dyDescent="0.35">
      <c r="A97" s="2">
        <v>20250701</v>
      </c>
      <c r="B97" s="5">
        <f t="shared" si="4"/>
        <v>45839</v>
      </c>
      <c r="C97" s="2">
        <f t="shared" si="5"/>
        <v>7</v>
      </c>
      <c r="D97" s="2">
        <f t="shared" si="6"/>
        <v>2025</v>
      </c>
      <c r="E97" s="2">
        <f t="shared" si="7"/>
        <v>2</v>
      </c>
    </row>
    <row r="98" spans="1:5" x14ac:dyDescent="0.35">
      <c r="A98" s="2">
        <v>20240501</v>
      </c>
      <c r="B98" s="5">
        <f t="shared" si="4"/>
        <v>45413</v>
      </c>
      <c r="C98" s="2">
        <f t="shared" si="5"/>
        <v>5</v>
      </c>
      <c r="D98" s="2">
        <f t="shared" si="6"/>
        <v>2024</v>
      </c>
      <c r="E98" s="2">
        <f t="shared" si="7"/>
        <v>2</v>
      </c>
    </row>
    <row r="99" spans="1:5" x14ac:dyDescent="0.35">
      <c r="A99" s="2">
        <v>20250801</v>
      </c>
      <c r="B99" s="5">
        <f t="shared" si="4"/>
        <v>45870</v>
      </c>
      <c r="C99" s="2">
        <f t="shared" si="5"/>
        <v>8</v>
      </c>
      <c r="D99" s="2">
        <f t="shared" si="6"/>
        <v>2025</v>
      </c>
      <c r="E99" s="2">
        <f t="shared" si="7"/>
        <v>3</v>
      </c>
    </row>
    <row r="100" spans="1:5" x14ac:dyDescent="0.35">
      <c r="A100" s="2">
        <v>20240301</v>
      </c>
      <c r="B100" s="5">
        <f t="shared" si="4"/>
        <v>45352</v>
      </c>
      <c r="C100" s="2">
        <f t="shared" si="5"/>
        <v>3</v>
      </c>
      <c r="D100" s="2">
        <f t="shared" si="6"/>
        <v>2024</v>
      </c>
      <c r="E100" s="2">
        <f t="shared" si="7"/>
        <v>1</v>
      </c>
    </row>
    <row r="101" spans="1:5" x14ac:dyDescent="0.35">
      <c r="A101" s="2">
        <v>20250201</v>
      </c>
      <c r="B101" s="5">
        <f t="shared" si="4"/>
        <v>45689</v>
      </c>
      <c r="C101" s="2">
        <f t="shared" si="5"/>
        <v>2</v>
      </c>
      <c r="D101" s="2">
        <f t="shared" si="6"/>
        <v>2025</v>
      </c>
      <c r="E101" s="2">
        <f t="shared" si="7"/>
        <v>1</v>
      </c>
    </row>
    <row r="102" spans="1:5" x14ac:dyDescent="0.35">
      <c r="A102" s="2">
        <v>20240701</v>
      </c>
      <c r="B102" s="5">
        <f t="shared" si="4"/>
        <v>45474</v>
      </c>
      <c r="C102" s="2">
        <f t="shared" si="5"/>
        <v>7</v>
      </c>
      <c r="D102" s="2">
        <f t="shared" si="6"/>
        <v>2024</v>
      </c>
      <c r="E102" s="2">
        <f t="shared" si="7"/>
        <v>2</v>
      </c>
    </row>
    <row r="103" spans="1:5" x14ac:dyDescent="0.35">
      <c r="A103" s="2">
        <v>20241101</v>
      </c>
      <c r="B103" s="5">
        <f t="shared" si="4"/>
        <v>45597</v>
      </c>
      <c r="C103" s="2">
        <f t="shared" si="5"/>
        <v>11</v>
      </c>
      <c r="D103" s="2">
        <f t="shared" si="6"/>
        <v>2024</v>
      </c>
      <c r="E103" s="2">
        <f t="shared" si="7"/>
        <v>3</v>
      </c>
    </row>
    <row r="104" spans="1:5" x14ac:dyDescent="0.35">
      <c r="A104" s="2">
        <v>20250401</v>
      </c>
      <c r="B104" s="5">
        <f t="shared" si="4"/>
        <v>45748</v>
      </c>
      <c r="C104" s="2">
        <f t="shared" si="5"/>
        <v>4</v>
      </c>
      <c r="D104" s="2">
        <f t="shared" si="6"/>
        <v>2025</v>
      </c>
      <c r="E104" s="2">
        <f t="shared" si="7"/>
        <v>2</v>
      </c>
    </row>
    <row r="105" spans="1:5" x14ac:dyDescent="0.35">
      <c r="A105" s="2">
        <v>20241201</v>
      </c>
      <c r="B105" s="5">
        <f t="shared" si="4"/>
        <v>45627</v>
      </c>
      <c r="C105" s="2">
        <f t="shared" si="5"/>
        <v>12</v>
      </c>
      <c r="D105" s="2">
        <f t="shared" si="6"/>
        <v>2024</v>
      </c>
      <c r="E105" s="2">
        <f t="shared" si="7"/>
        <v>4</v>
      </c>
    </row>
    <row r="106" spans="1:5" x14ac:dyDescent="0.35">
      <c r="A106" s="2">
        <v>20240101</v>
      </c>
      <c r="B106" s="5">
        <f t="shared" si="4"/>
        <v>45292</v>
      </c>
      <c r="C106" s="2">
        <f t="shared" si="5"/>
        <v>1</v>
      </c>
      <c r="D106" s="2">
        <f t="shared" si="6"/>
        <v>2024</v>
      </c>
      <c r="E106" s="2">
        <f t="shared" si="7"/>
        <v>1</v>
      </c>
    </row>
    <row r="107" spans="1:5" x14ac:dyDescent="0.35">
      <c r="A107" s="2">
        <v>20240901</v>
      </c>
      <c r="B107" s="5">
        <f t="shared" si="4"/>
        <v>45536</v>
      </c>
      <c r="C107" s="2">
        <f t="shared" si="5"/>
        <v>9</v>
      </c>
      <c r="D107" s="2">
        <f t="shared" si="6"/>
        <v>2024</v>
      </c>
      <c r="E107" s="2">
        <f t="shared" si="7"/>
        <v>3</v>
      </c>
    </row>
    <row r="108" spans="1:5" x14ac:dyDescent="0.35">
      <c r="A108" s="2">
        <v>20240201</v>
      </c>
      <c r="B108" s="5">
        <f t="shared" si="4"/>
        <v>45323</v>
      </c>
      <c r="C108" s="2">
        <f t="shared" si="5"/>
        <v>2</v>
      </c>
      <c r="D108" s="2">
        <f t="shared" si="6"/>
        <v>2024</v>
      </c>
      <c r="E108" s="2">
        <f t="shared" si="7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dimcustomer()</vt:lpstr>
      <vt:lpstr>dimproduct()</vt:lpstr>
      <vt:lpstr>dimshowroom()</vt:lpstr>
      <vt:lpstr>salesfact</vt:lpstr>
      <vt:lpstr>salestarget</vt:lpstr>
      <vt:lpstr>dimedate()</vt:lpstr>
    </vt:vector>
  </TitlesOfParts>
  <Manager/>
  <Company>PricewaterhouseCoopers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Shiv Chaudhari (IN)</dc:creator>
  <cp:keywords/>
  <dc:description/>
  <cp:lastModifiedBy>FAISAL REYAZ</cp:lastModifiedBy>
  <cp:revision/>
  <dcterms:created xsi:type="dcterms:W3CDTF">2025-11-04T10:44:27Z</dcterms:created>
  <dcterms:modified xsi:type="dcterms:W3CDTF">2026-04-16T09:56:40Z</dcterms:modified>
  <cp:category/>
  <cp:contentStatus/>
</cp:coreProperties>
</file>